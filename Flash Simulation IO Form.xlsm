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mc:AlternateContent xmlns:mc="http://schemas.openxmlformats.org/markup-compatibility/2006">
    <mc:Choice Requires="x15">
      <x15ac:absPath xmlns:x15ac="http://schemas.microsoft.com/office/spreadsheetml/2010/11/ac" url="C:\Users\parek\OneDrive - University of Ottawa\Documents\Homework\4000\CHG4343A Java\code_GROUP3\"/>
    </mc:Choice>
  </mc:AlternateContent>
  <xr:revisionPtr revIDLastSave="1" documentId="11_B8BFA5998F23310E588D7C55164D00E3195D01AE" xr6:coauthVersionLast="40" xr6:coauthVersionMax="40" xr10:uidLastSave="{11DE3F8E-6CB0-4F4E-A583-A6D1A677147B}"/>
  <bookViews>
    <workbookView xWindow="0" yWindow="0" windowWidth="9600" windowHeight="3583" activeTab="3" xr2:uid="{00000000-000D-0000-FFFF-FFFF00000000}"/>
  </bookViews>
  <sheets>
    <sheet name="Instructions" sheetId="4" r:id="rId1"/>
    <sheet name="Species Library" sheetId="2" r:id="rId2"/>
    <sheet name="Create Species CSVs" sheetId="3" r:id="rId3"/>
    <sheet name="Create Input Parameter CSV" sheetId="9" r:id="rId4"/>
    <sheet name="Simulation Output" sheetId="11" r:id="rId5"/>
    <sheet name="Sources" sheetId="10"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9" l="1"/>
  <c r="E12" i="9" l="1"/>
  <c r="Z12" i="9"/>
  <c r="Y12" i="9"/>
  <c r="X12" i="9"/>
  <c r="W12" i="9"/>
  <c r="V12" i="9"/>
  <c r="U12" i="9"/>
  <c r="T12" i="9"/>
  <c r="S12" i="9"/>
  <c r="R12" i="9"/>
  <c r="Q12" i="9"/>
  <c r="P12" i="9"/>
  <c r="O12" i="9"/>
  <c r="N12" i="9"/>
  <c r="M12" i="9"/>
  <c r="L12" i="9"/>
  <c r="K12" i="9"/>
  <c r="J12" i="9"/>
  <c r="I12" i="9"/>
  <c r="H12" i="9"/>
  <c r="G12" i="9"/>
  <c r="F12" i="9"/>
  <c r="F11" i="9"/>
  <c r="G11" i="9"/>
  <c r="H11" i="9"/>
  <c r="I11" i="9"/>
  <c r="J11" i="9"/>
  <c r="K11" i="9"/>
  <c r="L11" i="9"/>
  <c r="M11" i="9"/>
  <c r="N11" i="9"/>
  <c r="O11" i="9"/>
  <c r="P11" i="9"/>
  <c r="Q11" i="9"/>
  <c r="R11" i="9"/>
  <c r="S11" i="9"/>
  <c r="T11" i="9"/>
  <c r="U11" i="9"/>
  <c r="V11" i="9"/>
  <c r="W11" i="9"/>
  <c r="X11" i="9"/>
  <c r="Y11" i="9"/>
  <c r="Z11" i="9"/>
  <c r="E11" i="9"/>
  <c r="B15" i="9"/>
  <c r="C12" i="9"/>
  <c r="C10" i="9"/>
  <c r="D17" i="3" l="1"/>
  <c r="B20" i="3" l="1"/>
  <c r="C20" i="3"/>
  <c r="D20" i="3"/>
  <c r="E20" i="3"/>
  <c r="F20" i="3"/>
  <c r="G20" i="3"/>
  <c r="H20" i="3"/>
  <c r="I20" i="3"/>
  <c r="J20" i="3"/>
  <c r="K20" i="3"/>
  <c r="L20" i="3"/>
  <c r="M20" i="3"/>
  <c r="N20" i="3"/>
  <c r="O20" i="3"/>
  <c r="P20" i="3"/>
  <c r="Q20" i="3"/>
  <c r="R20" i="3"/>
  <c r="S20" i="3"/>
  <c r="T20" i="3"/>
  <c r="U20" i="3"/>
  <c r="V20" i="3"/>
  <c r="W20" i="3"/>
  <c r="X20" i="3"/>
  <c r="Y20" i="3"/>
  <c r="Z20" i="3"/>
  <c r="AA20" i="3"/>
  <c r="AB20" i="3"/>
  <c r="AC20" i="3"/>
  <c r="AD20" i="3"/>
  <c r="B12" i="3"/>
  <c r="C12" i="3"/>
  <c r="D12" i="3"/>
  <c r="E12" i="3"/>
  <c r="F12" i="3"/>
  <c r="G12" i="3"/>
  <c r="H12" i="3"/>
  <c r="I12" i="3"/>
  <c r="J12" i="3"/>
  <c r="K12" i="3"/>
  <c r="L12" i="3"/>
  <c r="M12" i="3"/>
  <c r="N12" i="3"/>
  <c r="O12" i="3"/>
  <c r="P12" i="3"/>
  <c r="Q12" i="3"/>
  <c r="R12" i="3"/>
  <c r="S12" i="3"/>
  <c r="T12" i="3"/>
  <c r="U12" i="3"/>
  <c r="V12" i="3"/>
  <c r="W12" i="3"/>
  <c r="X12" i="3"/>
  <c r="Y12" i="3"/>
  <c r="Z12" i="3"/>
  <c r="AA12" i="3"/>
  <c r="AB12" i="3"/>
  <c r="AC12" i="3"/>
  <c r="AD12" i="3"/>
  <c r="B13" i="3"/>
  <c r="C13" i="3"/>
  <c r="D13" i="3"/>
  <c r="E13" i="3"/>
  <c r="F13" i="3"/>
  <c r="G13" i="3"/>
  <c r="H13" i="3"/>
  <c r="I13" i="3"/>
  <c r="J13" i="3"/>
  <c r="K13" i="3"/>
  <c r="L13" i="3"/>
  <c r="M13" i="3"/>
  <c r="N13" i="3"/>
  <c r="O13" i="3"/>
  <c r="P13" i="3"/>
  <c r="Q13" i="3"/>
  <c r="R13" i="3"/>
  <c r="S13" i="3"/>
  <c r="T13" i="3"/>
  <c r="U13" i="3"/>
  <c r="V13" i="3"/>
  <c r="W13" i="3"/>
  <c r="X13" i="3"/>
  <c r="Y13" i="3"/>
  <c r="Z13" i="3"/>
  <c r="AA13" i="3"/>
  <c r="AB13" i="3"/>
  <c r="AC13" i="3"/>
  <c r="AD13" i="3"/>
  <c r="B14" i="3"/>
  <c r="C14" i="3"/>
  <c r="D14" i="3"/>
  <c r="E14" i="3"/>
  <c r="F14" i="3"/>
  <c r="G14" i="3"/>
  <c r="H14" i="3"/>
  <c r="I14" i="3"/>
  <c r="J14" i="3"/>
  <c r="K14" i="3"/>
  <c r="L14" i="3"/>
  <c r="M14" i="3"/>
  <c r="N14" i="3"/>
  <c r="O14" i="3"/>
  <c r="P14" i="3"/>
  <c r="Q14" i="3"/>
  <c r="R14" i="3"/>
  <c r="S14" i="3"/>
  <c r="T14" i="3"/>
  <c r="U14" i="3"/>
  <c r="V14" i="3"/>
  <c r="W14" i="3"/>
  <c r="X14" i="3"/>
  <c r="Y14" i="3"/>
  <c r="Z14" i="3"/>
  <c r="AA14" i="3"/>
  <c r="AB14" i="3"/>
  <c r="AC14" i="3"/>
  <c r="AD14" i="3"/>
  <c r="B15" i="3"/>
  <c r="C15" i="3"/>
  <c r="D15" i="3"/>
  <c r="E15" i="3"/>
  <c r="F15" i="3"/>
  <c r="G15" i="3"/>
  <c r="H15" i="3"/>
  <c r="I15" i="3"/>
  <c r="J15" i="3"/>
  <c r="K15" i="3"/>
  <c r="L15" i="3"/>
  <c r="M15" i="3"/>
  <c r="N15" i="3"/>
  <c r="O15" i="3"/>
  <c r="P15" i="3"/>
  <c r="Q15" i="3"/>
  <c r="R15" i="3"/>
  <c r="S15" i="3"/>
  <c r="T15" i="3"/>
  <c r="U15" i="3"/>
  <c r="V15" i="3"/>
  <c r="W15" i="3"/>
  <c r="X15" i="3"/>
  <c r="Y15" i="3"/>
  <c r="Z15" i="3"/>
  <c r="AA15" i="3"/>
  <c r="AB15" i="3"/>
  <c r="AC15" i="3"/>
  <c r="AD15" i="3"/>
  <c r="B16" i="3"/>
  <c r="C16" i="3"/>
  <c r="D16" i="3"/>
  <c r="E16" i="3"/>
  <c r="F16" i="3"/>
  <c r="G16" i="3"/>
  <c r="H16" i="3"/>
  <c r="I16" i="3"/>
  <c r="J16" i="3"/>
  <c r="K16" i="3"/>
  <c r="L16" i="3"/>
  <c r="M16" i="3"/>
  <c r="N16" i="3"/>
  <c r="O16" i="3"/>
  <c r="P16" i="3"/>
  <c r="Q16" i="3"/>
  <c r="R16" i="3"/>
  <c r="S16" i="3"/>
  <c r="T16" i="3"/>
  <c r="U16" i="3"/>
  <c r="V16" i="3"/>
  <c r="W16" i="3"/>
  <c r="X16" i="3"/>
  <c r="Y16" i="3"/>
  <c r="Z16" i="3"/>
  <c r="AA16" i="3"/>
  <c r="AB16" i="3"/>
  <c r="AC16" i="3"/>
  <c r="AD16" i="3"/>
  <c r="B17" i="3"/>
  <c r="C17" i="3"/>
  <c r="E17" i="3"/>
  <c r="F17" i="3"/>
  <c r="G17" i="3"/>
  <c r="H17" i="3"/>
  <c r="I17" i="3"/>
  <c r="J17" i="3"/>
  <c r="K17" i="3"/>
  <c r="L17" i="3"/>
  <c r="M17" i="3"/>
  <c r="N17" i="3"/>
  <c r="O17" i="3"/>
  <c r="P17" i="3"/>
  <c r="Q17" i="3"/>
  <c r="R17" i="3"/>
  <c r="S17" i="3"/>
  <c r="T17" i="3"/>
  <c r="U17" i="3"/>
  <c r="V17" i="3"/>
  <c r="W17" i="3"/>
  <c r="X17" i="3"/>
  <c r="Y17" i="3"/>
  <c r="Z17" i="3"/>
  <c r="AA17" i="3"/>
  <c r="AB17" i="3"/>
  <c r="AC17" i="3"/>
  <c r="AD17" i="3"/>
  <c r="B18" i="3"/>
  <c r="C18" i="3"/>
  <c r="D18" i="3"/>
  <c r="E18" i="3"/>
  <c r="F18" i="3"/>
  <c r="G18" i="3"/>
  <c r="H18" i="3"/>
  <c r="I18" i="3"/>
  <c r="J18" i="3"/>
  <c r="K18" i="3"/>
  <c r="L18" i="3"/>
  <c r="M18" i="3"/>
  <c r="N18" i="3"/>
  <c r="O18" i="3"/>
  <c r="P18" i="3"/>
  <c r="Q18" i="3"/>
  <c r="R18" i="3"/>
  <c r="S18" i="3"/>
  <c r="T18" i="3"/>
  <c r="U18" i="3"/>
  <c r="V18" i="3"/>
  <c r="W18" i="3"/>
  <c r="X18" i="3"/>
  <c r="Y18" i="3"/>
  <c r="Z18" i="3"/>
  <c r="AA18" i="3"/>
  <c r="AB18" i="3"/>
  <c r="AC18" i="3"/>
  <c r="AD18" i="3"/>
  <c r="B19" i="3"/>
  <c r="C19" i="3"/>
  <c r="D19" i="3"/>
  <c r="E19" i="3"/>
  <c r="F19" i="3"/>
  <c r="G19" i="3"/>
  <c r="H19" i="3"/>
  <c r="I19" i="3"/>
  <c r="J19" i="3"/>
  <c r="K19" i="3"/>
  <c r="L19" i="3"/>
  <c r="M19" i="3"/>
  <c r="N19" i="3"/>
  <c r="O19" i="3"/>
  <c r="P19" i="3"/>
  <c r="Q19" i="3"/>
  <c r="R19" i="3"/>
  <c r="S19" i="3"/>
  <c r="T19" i="3"/>
  <c r="U19" i="3"/>
  <c r="V19" i="3"/>
  <c r="W19" i="3"/>
  <c r="X19" i="3"/>
  <c r="Y19" i="3"/>
  <c r="Z19" i="3"/>
  <c r="AA19" i="3"/>
  <c r="AB19" i="3"/>
  <c r="AC19" i="3"/>
  <c r="AD19" i="3"/>
  <c r="B21" i="3"/>
  <c r="C21" i="3"/>
  <c r="D21" i="3"/>
  <c r="E21" i="3"/>
  <c r="F21" i="3"/>
  <c r="G21" i="3"/>
  <c r="H21" i="3"/>
  <c r="I21" i="3"/>
  <c r="J21" i="3"/>
  <c r="K21" i="3"/>
  <c r="L21" i="3"/>
  <c r="M21" i="3"/>
  <c r="N21" i="3"/>
  <c r="O21" i="3"/>
  <c r="P21" i="3"/>
  <c r="Q21" i="3"/>
  <c r="R21" i="3"/>
  <c r="S21" i="3"/>
  <c r="T21" i="3"/>
  <c r="U21" i="3"/>
  <c r="V21" i="3"/>
  <c r="W21" i="3"/>
  <c r="X21" i="3"/>
  <c r="Y21" i="3"/>
  <c r="Z21" i="3"/>
  <c r="AA21" i="3"/>
  <c r="AB21" i="3"/>
  <c r="AC21" i="3"/>
  <c r="AD21" i="3"/>
  <c r="B22" i="3"/>
  <c r="C22" i="3"/>
  <c r="D22" i="3"/>
  <c r="E22" i="3"/>
  <c r="F22" i="3"/>
  <c r="G22" i="3"/>
  <c r="H22" i="3"/>
  <c r="I22" i="3"/>
  <c r="J22" i="3"/>
  <c r="K22" i="3"/>
  <c r="L22" i="3"/>
  <c r="M22" i="3"/>
  <c r="N22" i="3"/>
  <c r="O22" i="3"/>
  <c r="P22" i="3"/>
  <c r="Q22" i="3"/>
  <c r="R22" i="3"/>
  <c r="S22" i="3"/>
  <c r="T22" i="3"/>
  <c r="U22" i="3"/>
  <c r="V22" i="3"/>
  <c r="W22" i="3"/>
  <c r="X22" i="3"/>
  <c r="Y22" i="3"/>
  <c r="Z22" i="3"/>
  <c r="AA22" i="3"/>
  <c r="AB22" i="3"/>
  <c r="AC22" i="3"/>
  <c r="AD22" i="3"/>
  <c r="B23" i="3"/>
  <c r="C23" i="3"/>
  <c r="D23" i="3"/>
  <c r="E23" i="3"/>
  <c r="F23" i="3"/>
  <c r="G23" i="3"/>
  <c r="H23" i="3"/>
  <c r="I23" i="3"/>
  <c r="J23" i="3"/>
  <c r="K23" i="3"/>
  <c r="L23" i="3"/>
  <c r="M23" i="3"/>
  <c r="N23" i="3"/>
  <c r="O23" i="3"/>
  <c r="P23" i="3"/>
  <c r="Q23" i="3"/>
  <c r="R23" i="3"/>
  <c r="S23" i="3"/>
  <c r="T23" i="3"/>
  <c r="U23" i="3"/>
  <c r="V23" i="3"/>
  <c r="W23" i="3"/>
  <c r="X23" i="3"/>
  <c r="Y23" i="3"/>
  <c r="Z23" i="3"/>
  <c r="AA23" i="3"/>
  <c r="AB23" i="3"/>
  <c r="AC23" i="3"/>
  <c r="AD23" i="3"/>
  <c r="B24" i="3"/>
  <c r="C24" i="3"/>
  <c r="D24" i="3"/>
  <c r="E24" i="3"/>
  <c r="F24" i="3"/>
  <c r="G24" i="3"/>
  <c r="H24" i="3"/>
  <c r="I24" i="3"/>
  <c r="J24" i="3"/>
  <c r="K24" i="3"/>
  <c r="L24" i="3"/>
  <c r="M24" i="3"/>
  <c r="N24" i="3"/>
  <c r="O24" i="3"/>
  <c r="P24" i="3"/>
  <c r="Q24" i="3"/>
  <c r="R24" i="3"/>
  <c r="S24" i="3"/>
  <c r="T24" i="3"/>
  <c r="U24" i="3"/>
  <c r="V24" i="3"/>
  <c r="W24" i="3"/>
  <c r="X24" i="3"/>
  <c r="Y24" i="3"/>
  <c r="Z24" i="3"/>
  <c r="AA24" i="3"/>
  <c r="AB24" i="3"/>
  <c r="AC24" i="3"/>
  <c r="AD24" i="3"/>
  <c r="B25" i="3"/>
  <c r="C25" i="3"/>
  <c r="D25" i="3"/>
  <c r="E25" i="3"/>
  <c r="F25" i="3"/>
  <c r="G25" i="3"/>
  <c r="H25" i="3"/>
  <c r="I25" i="3"/>
  <c r="J25" i="3"/>
  <c r="K25" i="3"/>
  <c r="L25" i="3"/>
  <c r="M25" i="3"/>
  <c r="N25" i="3"/>
  <c r="O25" i="3"/>
  <c r="P25" i="3"/>
  <c r="Q25" i="3"/>
  <c r="R25" i="3"/>
  <c r="S25" i="3"/>
  <c r="T25" i="3"/>
  <c r="U25" i="3"/>
  <c r="V25" i="3"/>
  <c r="W25" i="3"/>
  <c r="X25" i="3"/>
  <c r="Y25" i="3"/>
  <c r="Z25" i="3"/>
  <c r="AA25" i="3"/>
  <c r="AB25" i="3"/>
  <c r="AC25" i="3"/>
  <c r="AD25" i="3"/>
  <c r="B26" i="3"/>
  <c r="C26" i="3"/>
  <c r="D26" i="3"/>
  <c r="E26" i="3"/>
  <c r="F26" i="3"/>
  <c r="G26" i="3"/>
  <c r="H26" i="3"/>
  <c r="I26" i="3"/>
  <c r="J26" i="3"/>
  <c r="K26" i="3"/>
  <c r="L26" i="3"/>
  <c r="M26" i="3"/>
  <c r="N26" i="3"/>
  <c r="O26" i="3"/>
  <c r="P26" i="3"/>
  <c r="Q26" i="3"/>
  <c r="R26" i="3"/>
  <c r="S26" i="3"/>
  <c r="T26" i="3"/>
  <c r="U26" i="3"/>
  <c r="V26" i="3"/>
  <c r="W26" i="3"/>
  <c r="X26" i="3"/>
  <c r="Y26" i="3"/>
  <c r="Z26" i="3"/>
  <c r="AA26" i="3"/>
  <c r="AB26" i="3"/>
  <c r="AC26" i="3"/>
  <c r="AD26" i="3"/>
  <c r="B27" i="3"/>
  <c r="C27" i="3"/>
  <c r="D27" i="3"/>
  <c r="E27" i="3"/>
  <c r="F27" i="3"/>
  <c r="G27" i="3"/>
  <c r="H27" i="3"/>
  <c r="I27" i="3"/>
  <c r="J27" i="3"/>
  <c r="K27" i="3"/>
  <c r="L27" i="3"/>
  <c r="M27" i="3"/>
  <c r="N27" i="3"/>
  <c r="O27" i="3"/>
  <c r="P27" i="3"/>
  <c r="Q27" i="3"/>
  <c r="R27" i="3"/>
  <c r="S27" i="3"/>
  <c r="T27" i="3"/>
  <c r="U27" i="3"/>
  <c r="V27" i="3"/>
  <c r="W27" i="3"/>
  <c r="X27" i="3"/>
  <c r="Y27" i="3"/>
  <c r="Z27" i="3"/>
  <c r="AA27" i="3"/>
  <c r="AB27" i="3"/>
  <c r="AC27" i="3"/>
  <c r="AD27" i="3"/>
  <c r="B28" i="3"/>
  <c r="C28" i="3"/>
  <c r="D28" i="3"/>
  <c r="E28" i="3"/>
  <c r="F28" i="3"/>
  <c r="G28" i="3"/>
  <c r="H28" i="3"/>
  <c r="I28" i="3"/>
  <c r="J28" i="3"/>
  <c r="K28" i="3"/>
  <c r="L28" i="3"/>
  <c r="M28" i="3"/>
  <c r="N28" i="3"/>
  <c r="O28" i="3"/>
  <c r="P28" i="3"/>
  <c r="Q28" i="3"/>
  <c r="R28" i="3"/>
  <c r="S28" i="3"/>
  <c r="T28" i="3"/>
  <c r="U28" i="3"/>
  <c r="V28" i="3"/>
  <c r="W28" i="3"/>
  <c r="X28" i="3"/>
  <c r="Y28" i="3"/>
  <c r="Z28" i="3"/>
  <c r="AA28" i="3"/>
  <c r="AB28" i="3"/>
  <c r="AC28" i="3"/>
  <c r="AD28" i="3"/>
  <c r="B29" i="3"/>
  <c r="C29" i="3"/>
  <c r="D29" i="3"/>
  <c r="E29" i="3"/>
  <c r="F29" i="3"/>
  <c r="G29" i="3"/>
  <c r="H29" i="3"/>
  <c r="I29" i="3"/>
  <c r="J29" i="3"/>
  <c r="K29" i="3"/>
  <c r="L29" i="3"/>
  <c r="M29" i="3"/>
  <c r="N29" i="3"/>
  <c r="O29" i="3"/>
  <c r="P29" i="3"/>
  <c r="Q29" i="3"/>
  <c r="R29" i="3"/>
  <c r="S29" i="3"/>
  <c r="T29" i="3"/>
  <c r="U29" i="3"/>
  <c r="V29" i="3"/>
  <c r="W29" i="3"/>
  <c r="X29" i="3"/>
  <c r="Y29" i="3"/>
  <c r="Z29" i="3"/>
  <c r="AA29" i="3"/>
  <c r="AB29" i="3"/>
  <c r="AC29" i="3"/>
  <c r="AD29" i="3"/>
  <c r="B30" i="3"/>
  <c r="C30" i="3"/>
  <c r="D30" i="3"/>
  <c r="E30" i="3"/>
  <c r="F30" i="3"/>
  <c r="G30" i="3"/>
  <c r="H30" i="3"/>
  <c r="I30" i="3"/>
  <c r="J30" i="3"/>
  <c r="K30" i="3"/>
  <c r="L30" i="3"/>
  <c r="M30" i="3"/>
  <c r="N30" i="3"/>
  <c r="O30" i="3"/>
  <c r="P30" i="3"/>
  <c r="Q30" i="3"/>
  <c r="R30" i="3"/>
  <c r="S30" i="3"/>
  <c r="T30" i="3"/>
  <c r="U30" i="3"/>
  <c r="V30" i="3"/>
  <c r="W30" i="3"/>
  <c r="X30" i="3"/>
  <c r="Y30" i="3"/>
  <c r="Z30" i="3"/>
  <c r="AA30" i="3"/>
  <c r="AB30" i="3"/>
  <c r="AC30" i="3"/>
  <c r="AD30" i="3"/>
  <c r="B31" i="3"/>
  <c r="C31" i="3"/>
  <c r="D31" i="3"/>
  <c r="E31" i="3"/>
  <c r="F31" i="3"/>
  <c r="G31" i="3"/>
  <c r="H31" i="3"/>
  <c r="I31" i="3"/>
  <c r="J31" i="3"/>
  <c r="K31" i="3"/>
  <c r="L31" i="3"/>
  <c r="M31" i="3"/>
  <c r="N31" i="3"/>
  <c r="O31" i="3"/>
  <c r="P31" i="3"/>
  <c r="Q31" i="3"/>
  <c r="R31" i="3"/>
  <c r="S31" i="3"/>
  <c r="T31" i="3"/>
  <c r="U31" i="3"/>
  <c r="V31" i="3"/>
  <c r="W31" i="3"/>
  <c r="X31" i="3"/>
  <c r="Y31" i="3"/>
  <c r="Z31" i="3"/>
  <c r="AA31" i="3"/>
  <c r="AB31" i="3"/>
  <c r="AC31" i="3"/>
  <c r="AD31" i="3"/>
  <c r="B32" i="3"/>
  <c r="C32" i="3"/>
  <c r="D32" i="3"/>
  <c r="E32" i="3"/>
  <c r="F32" i="3"/>
  <c r="G32" i="3"/>
  <c r="H32" i="3"/>
  <c r="I32" i="3"/>
  <c r="J32" i="3"/>
  <c r="K32" i="3"/>
  <c r="L32" i="3"/>
  <c r="M32" i="3"/>
  <c r="N32" i="3"/>
  <c r="O32" i="3"/>
  <c r="P32" i="3"/>
  <c r="Q32" i="3"/>
  <c r="R32" i="3"/>
  <c r="S32" i="3"/>
  <c r="T32" i="3"/>
  <c r="U32" i="3"/>
  <c r="V32" i="3"/>
  <c r="W32" i="3"/>
  <c r="X32" i="3"/>
  <c r="Y32" i="3"/>
  <c r="Z32" i="3"/>
  <c r="AA32" i="3"/>
  <c r="AB32" i="3"/>
  <c r="AC32" i="3"/>
  <c r="AD32" i="3"/>
  <c r="B33" i="3"/>
  <c r="C33" i="3"/>
  <c r="D33" i="3"/>
  <c r="E33" i="3"/>
  <c r="F33" i="3"/>
  <c r="G33" i="3"/>
  <c r="H33" i="3"/>
  <c r="I33" i="3"/>
  <c r="J33" i="3"/>
  <c r="K33" i="3"/>
  <c r="L33" i="3"/>
  <c r="M33" i="3"/>
  <c r="N33" i="3"/>
  <c r="O33" i="3"/>
  <c r="P33" i="3"/>
  <c r="Q33" i="3"/>
  <c r="R33" i="3"/>
  <c r="S33" i="3"/>
  <c r="T33" i="3"/>
  <c r="U33" i="3"/>
  <c r="V33" i="3"/>
  <c r="W33" i="3"/>
  <c r="X33" i="3"/>
  <c r="Y33" i="3"/>
  <c r="Z33" i="3"/>
  <c r="AA33" i="3"/>
  <c r="AB33" i="3"/>
  <c r="AC33" i="3"/>
  <c r="AD33" i="3"/>
  <c r="B34" i="3"/>
  <c r="C34" i="3"/>
  <c r="D34" i="3"/>
  <c r="E34" i="3"/>
  <c r="F34" i="3"/>
  <c r="G34" i="3"/>
  <c r="H34" i="3"/>
  <c r="I34" i="3"/>
  <c r="J34" i="3"/>
  <c r="K34" i="3"/>
  <c r="L34" i="3"/>
  <c r="M34" i="3"/>
  <c r="N34" i="3"/>
  <c r="O34" i="3"/>
  <c r="P34" i="3"/>
  <c r="Q34" i="3"/>
  <c r="R34" i="3"/>
  <c r="S34" i="3"/>
  <c r="T34" i="3"/>
  <c r="U34" i="3"/>
  <c r="V34" i="3"/>
  <c r="W34" i="3"/>
  <c r="X34" i="3"/>
  <c r="Y34" i="3"/>
  <c r="Z34" i="3"/>
  <c r="AA34" i="3"/>
  <c r="AB34" i="3"/>
  <c r="AC34" i="3"/>
  <c r="AD34" i="3"/>
  <c r="B35" i="3"/>
  <c r="C35" i="3"/>
  <c r="D35" i="3"/>
  <c r="E35" i="3"/>
  <c r="F35" i="3"/>
  <c r="G35" i="3"/>
  <c r="H35" i="3"/>
  <c r="I35" i="3"/>
  <c r="J35" i="3"/>
  <c r="K35" i="3"/>
  <c r="L35" i="3"/>
  <c r="M35" i="3"/>
  <c r="N35" i="3"/>
  <c r="O35" i="3"/>
  <c r="P35" i="3"/>
  <c r="Q35" i="3"/>
  <c r="R35" i="3"/>
  <c r="S35" i="3"/>
  <c r="T35" i="3"/>
  <c r="U35" i="3"/>
  <c r="V35" i="3"/>
  <c r="W35" i="3"/>
  <c r="X35" i="3"/>
  <c r="Y35" i="3"/>
  <c r="Z35" i="3"/>
  <c r="AA35" i="3"/>
  <c r="AB35" i="3"/>
  <c r="AC35" i="3"/>
  <c r="AD35" i="3"/>
  <c r="B36" i="3"/>
  <c r="C36" i="3"/>
  <c r="D36" i="3"/>
  <c r="E36" i="3"/>
  <c r="F36" i="3"/>
  <c r="G36" i="3"/>
  <c r="H36" i="3"/>
  <c r="I36" i="3"/>
  <c r="J36" i="3"/>
  <c r="K36" i="3"/>
  <c r="L36" i="3"/>
  <c r="M36" i="3"/>
  <c r="N36" i="3"/>
  <c r="O36" i="3"/>
  <c r="P36" i="3"/>
  <c r="Q36" i="3"/>
  <c r="R36" i="3"/>
  <c r="S36" i="3"/>
  <c r="T36" i="3"/>
  <c r="U36" i="3"/>
  <c r="V36" i="3"/>
  <c r="W36" i="3"/>
  <c r="X36" i="3"/>
  <c r="Y36" i="3"/>
  <c r="Z36" i="3"/>
  <c r="AA36" i="3"/>
  <c r="AB36" i="3"/>
  <c r="AC36" i="3"/>
  <c r="AD36" i="3"/>
  <c r="B37" i="3"/>
  <c r="C37" i="3"/>
  <c r="D37" i="3"/>
  <c r="E37" i="3"/>
  <c r="F37" i="3"/>
  <c r="G37" i="3"/>
  <c r="H37" i="3"/>
  <c r="I37" i="3"/>
  <c r="J37" i="3"/>
  <c r="K37" i="3"/>
  <c r="L37" i="3"/>
  <c r="M37" i="3"/>
  <c r="N37" i="3"/>
  <c r="O37" i="3"/>
  <c r="P37" i="3"/>
  <c r="Q37" i="3"/>
  <c r="R37" i="3"/>
  <c r="S37" i="3"/>
  <c r="T37" i="3"/>
  <c r="U37" i="3"/>
  <c r="V37" i="3"/>
  <c r="W37" i="3"/>
  <c r="X37" i="3"/>
  <c r="Y37" i="3"/>
  <c r="Z37" i="3"/>
  <c r="AA37" i="3"/>
  <c r="AB37" i="3"/>
  <c r="AC37" i="3"/>
  <c r="AD37" i="3"/>
  <c r="B38" i="3"/>
  <c r="C38" i="3"/>
  <c r="D38" i="3"/>
  <c r="E38" i="3"/>
  <c r="F38" i="3"/>
  <c r="G38" i="3"/>
  <c r="H38" i="3"/>
  <c r="I38" i="3"/>
  <c r="J38" i="3"/>
  <c r="K38" i="3"/>
  <c r="L38" i="3"/>
  <c r="M38" i="3"/>
  <c r="N38" i="3"/>
  <c r="O38" i="3"/>
  <c r="P38" i="3"/>
  <c r="Q38" i="3"/>
  <c r="R38" i="3"/>
  <c r="S38" i="3"/>
  <c r="T38" i="3"/>
  <c r="U38" i="3"/>
  <c r="V38" i="3"/>
  <c r="W38" i="3"/>
  <c r="X38" i="3"/>
  <c r="Y38" i="3"/>
  <c r="Z38" i="3"/>
  <c r="AA38" i="3"/>
  <c r="AB38" i="3"/>
  <c r="AC38" i="3"/>
  <c r="AD38" i="3"/>
  <c r="B39" i="3"/>
  <c r="C39" i="3"/>
  <c r="D39" i="3"/>
  <c r="E39" i="3"/>
  <c r="F39" i="3"/>
  <c r="G39" i="3"/>
  <c r="H39" i="3"/>
  <c r="I39" i="3"/>
  <c r="J39" i="3"/>
  <c r="K39" i="3"/>
  <c r="L39" i="3"/>
  <c r="M39" i="3"/>
  <c r="N39" i="3"/>
  <c r="O39" i="3"/>
  <c r="P39" i="3"/>
  <c r="Q39" i="3"/>
  <c r="R39" i="3"/>
  <c r="S39" i="3"/>
  <c r="T39" i="3"/>
  <c r="U39" i="3"/>
  <c r="V39" i="3"/>
  <c r="W39" i="3"/>
  <c r="X39" i="3"/>
  <c r="Y39" i="3"/>
  <c r="Z39" i="3"/>
  <c r="AA39" i="3"/>
  <c r="AB39" i="3"/>
  <c r="AC39" i="3"/>
  <c r="AD39" i="3"/>
  <c r="B40" i="3"/>
  <c r="C40" i="3"/>
  <c r="D40" i="3"/>
  <c r="E40" i="3"/>
  <c r="F40" i="3"/>
  <c r="G40" i="3"/>
  <c r="H40" i="3"/>
  <c r="I40" i="3"/>
  <c r="J40" i="3"/>
  <c r="K40" i="3"/>
  <c r="L40" i="3"/>
  <c r="M40" i="3"/>
  <c r="N40" i="3"/>
  <c r="O40" i="3"/>
  <c r="P40" i="3"/>
  <c r="Q40" i="3"/>
  <c r="R40" i="3"/>
  <c r="S40" i="3"/>
  <c r="T40" i="3"/>
  <c r="U40" i="3"/>
  <c r="V40" i="3"/>
  <c r="W40" i="3"/>
  <c r="X40" i="3"/>
  <c r="Y40" i="3"/>
  <c r="Z40" i="3"/>
  <c r="AA40" i="3"/>
  <c r="AB40" i="3"/>
  <c r="AC40" i="3"/>
  <c r="AD40" i="3"/>
  <c r="B41" i="3"/>
  <c r="C41" i="3"/>
  <c r="D41" i="3"/>
  <c r="E41" i="3"/>
  <c r="F41" i="3"/>
  <c r="G41" i="3"/>
  <c r="H41" i="3"/>
  <c r="I41" i="3"/>
  <c r="J41" i="3"/>
  <c r="K41" i="3"/>
  <c r="L41" i="3"/>
  <c r="M41" i="3"/>
  <c r="N41" i="3"/>
  <c r="O41" i="3"/>
  <c r="P41" i="3"/>
  <c r="Q41" i="3"/>
  <c r="R41" i="3"/>
  <c r="S41" i="3"/>
  <c r="T41" i="3"/>
  <c r="U41" i="3"/>
  <c r="V41" i="3"/>
  <c r="W41" i="3"/>
  <c r="X41" i="3"/>
  <c r="Y41" i="3"/>
  <c r="Z41" i="3"/>
  <c r="AA41" i="3"/>
  <c r="AB41" i="3"/>
  <c r="AC41" i="3"/>
  <c r="AD41" i="3"/>
  <c r="B42" i="3"/>
  <c r="C42" i="3"/>
  <c r="D42" i="3"/>
  <c r="E42" i="3"/>
  <c r="F42" i="3"/>
  <c r="G42" i="3"/>
  <c r="H42" i="3"/>
  <c r="I42" i="3"/>
  <c r="J42" i="3"/>
  <c r="K42" i="3"/>
  <c r="L42" i="3"/>
  <c r="M42" i="3"/>
  <c r="N42" i="3"/>
  <c r="O42" i="3"/>
  <c r="P42" i="3"/>
  <c r="Q42" i="3"/>
  <c r="R42" i="3"/>
  <c r="S42" i="3"/>
  <c r="T42" i="3"/>
  <c r="U42" i="3"/>
  <c r="V42" i="3"/>
  <c r="W42" i="3"/>
  <c r="X42" i="3"/>
  <c r="Y42" i="3"/>
  <c r="Z42" i="3"/>
  <c r="AA42" i="3"/>
  <c r="AB42" i="3"/>
  <c r="AC42" i="3"/>
  <c r="AD42" i="3"/>
  <c r="B43" i="3"/>
  <c r="C43" i="3"/>
  <c r="D43" i="3"/>
  <c r="E43" i="3"/>
  <c r="F43" i="3"/>
  <c r="G43" i="3"/>
  <c r="H43" i="3"/>
  <c r="I43" i="3"/>
  <c r="J43" i="3"/>
  <c r="K43" i="3"/>
  <c r="L43" i="3"/>
  <c r="M43" i="3"/>
  <c r="N43" i="3"/>
  <c r="O43" i="3"/>
  <c r="P43" i="3"/>
  <c r="Q43" i="3"/>
  <c r="R43" i="3"/>
  <c r="S43" i="3"/>
  <c r="T43" i="3"/>
  <c r="U43" i="3"/>
  <c r="V43" i="3"/>
  <c r="W43" i="3"/>
  <c r="X43" i="3"/>
  <c r="Y43" i="3"/>
  <c r="Z43" i="3"/>
  <c r="AA43" i="3"/>
  <c r="AB43" i="3"/>
  <c r="AC43" i="3"/>
  <c r="AD43" i="3"/>
  <c r="B44" i="3"/>
  <c r="C44" i="3"/>
  <c r="D44" i="3"/>
  <c r="E44" i="3"/>
  <c r="F44" i="3"/>
  <c r="G44" i="3"/>
  <c r="H44" i="3"/>
  <c r="I44" i="3"/>
  <c r="J44" i="3"/>
  <c r="K44" i="3"/>
  <c r="L44" i="3"/>
  <c r="M44" i="3"/>
  <c r="N44" i="3"/>
  <c r="O44" i="3"/>
  <c r="P44" i="3"/>
  <c r="Q44" i="3"/>
  <c r="R44" i="3"/>
  <c r="S44" i="3"/>
  <c r="T44" i="3"/>
  <c r="U44" i="3"/>
  <c r="V44" i="3"/>
  <c r="W44" i="3"/>
  <c r="X44" i="3"/>
  <c r="Y44" i="3"/>
  <c r="Z44" i="3"/>
  <c r="AA44" i="3"/>
  <c r="AB44" i="3"/>
  <c r="AC44" i="3"/>
  <c r="AD44" i="3"/>
  <c r="B45" i="3"/>
  <c r="C45" i="3"/>
  <c r="D45" i="3"/>
  <c r="E45" i="3"/>
  <c r="F45" i="3"/>
  <c r="G45" i="3"/>
  <c r="H45" i="3"/>
  <c r="I45" i="3"/>
  <c r="J45" i="3"/>
  <c r="K45" i="3"/>
  <c r="L45" i="3"/>
  <c r="M45" i="3"/>
  <c r="N45" i="3"/>
  <c r="O45" i="3"/>
  <c r="P45" i="3"/>
  <c r="Q45" i="3"/>
  <c r="R45" i="3"/>
  <c r="S45" i="3"/>
  <c r="T45" i="3"/>
  <c r="U45" i="3"/>
  <c r="V45" i="3"/>
  <c r="W45" i="3"/>
  <c r="X45" i="3"/>
  <c r="Y45" i="3"/>
  <c r="Z45" i="3"/>
  <c r="AA45" i="3"/>
  <c r="AB45" i="3"/>
  <c r="AC45" i="3"/>
  <c r="AD45" i="3"/>
  <c r="B46" i="3"/>
  <c r="C46" i="3"/>
  <c r="D46" i="3"/>
  <c r="E46" i="3"/>
  <c r="F46" i="3"/>
  <c r="G46" i="3"/>
  <c r="H46" i="3"/>
  <c r="I46" i="3"/>
  <c r="J46" i="3"/>
  <c r="K46" i="3"/>
  <c r="L46" i="3"/>
  <c r="M46" i="3"/>
  <c r="N46" i="3"/>
  <c r="O46" i="3"/>
  <c r="P46" i="3"/>
  <c r="Q46" i="3"/>
  <c r="R46" i="3"/>
  <c r="S46" i="3"/>
  <c r="T46" i="3"/>
  <c r="U46" i="3"/>
  <c r="V46" i="3"/>
  <c r="W46" i="3"/>
  <c r="X46" i="3"/>
  <c r="Y46" i="3"/>
  <c r="Z46" i="3"/>
  <c r="AA46" i="3"/>
  <c r="AB46" i="3"/>
  <c r="AC46" i="3"/>
  <c r="AD46" i="3"/>
  <c r="B47" i="3"/>
  <c r="C47" i="3"/>
  <c r="D47" i="3"/>
  <c r="E47" i="3"/>
  <c r="F47" i="3"/>
  <c r="G47" i="3"/>
  <c r="H47" i="3"/>
  <c r="I47" i="3"/>
  <c r="J47" i="3"/>
  <c r="K47" i="3"/>
  <c r="L47" i="3"/>
  <c r="M47" i="3"/>
  <c r="N47" i="3"/>
  <c r="O47" i="3"/>
  <c r="P47" i="3"/>
  <c r="Q47" i="3"/>
  <c r="R47" i="3"/>
  <c r="S47" i="3"/>
  <c r="T47" i="3"/>
  <c r="U47" i="3"/>
  <c r="V47" i="3"/>
  <c r="W47" i="3"/>
  <c r="X47" i="3"/>
  <c r="Y47" i="3"/>
  <c r="Z47" i="3"/>
  <c r="AA47" i="3"/>
  <c r="AB47" i="3"/>
  <c r="AC47" i="3"/>
  <c r="AD47" i="3"/>
  <c r="B48" i="3"/>
  <c r="C48" i="3"/>
  <c r="D48" i="3"/>
  <c r="E48" i="3"/>
  <c r="F48" i="3"/>
  <c r="G48" i="3"/>
  <c r="H48" i="3"/>
  <c r="I48" i="3"/>
  <c r="J48" i="3"/>
  <c r="K48" i="3"/>
  <c r="L48" i="3"/>
  <c r="M48" i="3"/>
  <c r="N48" i="3"/>
  <c r="O48" i="3"/>
  <c r="P48" i="3"/>
  <c r="Q48" i="3"/>
  <c r="R48" i="3"/>
  <c r="S48" i="3"/>
  <c r="T48" i="3"/>
  <c r="U48" i="3"/>
  <c r="V48" i="3"/>
  <c r="W48" i="3"/>
  <c r="X48" i="3"/>
  <c r="Y48" i="3"/>
  <c r="Z48" i="3"/>
  <c r="AA48" i="3"/>
  <c r="AB48" i="3"/>
  <c r="AC48" i="3"/>
  <c r="AD48" i="3"/>
  <c r="B49" i="3"/>
  <c r="C49" i="3"/>
  <c r="D49" i="3"/>
  <c r="E49" i="3"/>
  <c r="F49" i="3"/>
  <c r="G49" i="3"/>
  <c r="H49" i="3"/>
  <c r="I49" i="3"/>
  <c r="J49" i="3"/>
  <c r="K49" i="3"/>
  <c r="L49" i="3"/>
  <c r="M49" i="3"/>
  <c r="N49" i="3"/>
  <c r="O49" i="3"/>
  <c r="P49" i="3"/>
  <c r="Q49" i="3"/>
  <c r="R49" i="3"/>
  <c r="S49" i="3"/>
  <c r="T49" i="3"/>
  <c r="U49" i="3"/>
  <c r="V49" i="3"/>
  <c r="W49" i="3"/>
  <c r="X49" i="3"/>
  <c r="Y49" i="3"/>
  <c r="Z49" i="3"/>
  <c r="AA49" i="3"/>
  <c r="AB49" i="3"/>
  <c r="AC49" i="3"/>
  <c r="AD49" i="3"/>
  <c r="B50" i="3"/>
  <c r="C50" i="3"/>
  <c r="D50" i="3"/>
  <c r="E50" i="3"/>
  <c r="F50" i="3"/>
  <c r="G50" i="3"/>
  <c r="H50" i="3"/>
  <c r="I50" i="3"/>
  <c r="J50" i="3"/>
  <c r="K50" i="3"/>
  <c r="L50" i="3"/>
  <c r="M50" i="3"/>
  <c r="N50" i="3"/>
  <c r="O50" i="3"/>
  <c r="P50" i="3"/>
  <c r="Q50" i="3"/>
  <c r="R50" i="3"/>
  <c r="S50" i="3"/>
  <c r="T50" i="3"/>
  <c r="U50" i="3"/>
  <c r="V50" i="3"/>
  <c r="W50" i="3"/>
  <c r="X50" i="3"/>
  <c r="Y50" i="3"/>
  <c r="Z50" i="3"/>
  <c r="AA50" i="3"/>
  <c r="AB50" i="3"/>
  <c r="AC50" i="3"/>
  <c r="AD50" i="3"/>
  <c r="B51" i="3"/>
  <c r="C51" i="3"/>
  <c r="D51" i="3"/>
  <c r="E51" i="3"/>
  <c r="F51" i="3"/>
  <c r="G51" i="3"/>
  <c r="H51" i="3"/>
  <c r="I51" i="3"/>
  <c r="J51" i="3"/>
  <c r="K51" i="3"/>
  <c r="L51" i="3"/>
  <c r="M51" i="3"/>
  <c r="N51" i="3"/>
  <c r="O51" i="3"/>
  <c r="P51" i="3"/>
  <c r="Q51" i="3"/>
  <c r="R51" i="3"/>
  <c r="S51" i="3"/>
  <c r="T51" i="3"/>
  <c r="U51" i="3"/>
  <c r="V51" i="3"/>
  <c r="W51" i="3"/>
  <c r="X51" i="3"/>
  <c r="Y51" i="3"/>
  <c r="Z51" i="3"/>
  <c r="AA51" i="3"/>
  <c r="AB51" i="3"/>
  <c r="AC51" i="3"/>
  <c r="AD51" i="3"/>
  <c r="B52" i="3"/>
  <c r="C52" i="3"/>
  <c r="D52" i="3"/>
  <c r="E52" i="3"/>
  <c r="F52" i="3"/>
  <c r="G52" i="3"/>
  <c r="H52" i="3"/>
  <c r="I52" i="3"/>
  <c r="J52" i="3"/>
  <c r="K52" i="3"/>
  <c r="L52" i="3"/>
  <c r="M52" i="3"/>
  <c r="N52" i="3"/>
  <c r="O52" i="3"/>
  <c r="P52" i="3"/>
  <c r="Q52" i="3"/>
  <c r="R52" i="3"/>
  <c r="S52" i="3"/>
  <c r="T52" i="3"/>
  <c r="U52" i="3"/>
  <c r="V52" i="3"/>
  <c r="W52" i="3"/>
  <c r="X52" i="3"/>
  <c r="Y52" i="3"/>
  <c r="Z52" i="3"/>
  <c r="AA52" i="3"/>
  <c r="AB52" i="3"/>
  <c r="AC52" i="3"/>
  <c r="AD52" i="3"/>
  <c r="B53" i="3"/>
  <c r="C53" i="3"/>
  <c r="D53" i="3"/>
  <c r="E53" i="3"/>
  <c r="F53" i="3"/>
  <c r="G53" i="3"/>
  <c r="H53" i="3"/>
  <c r="I53" i="3"/>
  <c r="J53" i="3"/>
  <c r="K53" i="3"/>
  <c r="L53" i="3"/>
  <c r="M53" i="3"/>
  <c r="N53" i="3"/>
  <c r="O53" i="3"/>
  <c r="P53" i="3"/>
  <c r="Q53" i="3"/>
  <c r="R53" i="3"/>
  <c r="S53" i="3"/>
  <c r="T53" i="3"/>
  <c r="U53" i="3"/>
  <c r="V53" i="3"/>
  <c r="W53" i="3"/>
  <c r="X53" i="3"/>
  <c r="Y53" i="3"/>
  <c r="Z53" i="3"/>
  <c r="AA53" i="3"/>
  <c r="AB53" i="3"/>
  <c r="AC53" i="3"/>
  <c r="AD53" i="3"/>
  <c r="B54" i="3"/>
  <c r="C54" i="3"/>
  <c r="D54" i="3"/>
  <c r="E54" i="3"/>
  <c r="F54" i="3"/>
  <c r="G54" i="3"/>
  <c r="H54" i="3"/>
  <c r="I54" i="3"/>
  <c r="J54" i="3"/>
  <c r="K54" i="3"/>
  <c r="L54" i="3"/>
  <c r="M54" i="3"/>
  <c r="N54" i="3"/>
  <c r="O54" i="3"/>
  <c r="P54" i="3"/>
  <c r="Q54" i="3"/>
  <c r="R54" i="3"/>
  <c r="S54" i="3"/>
  <c r="T54" i="3"/>
  <c r="U54" i="3"/>
  <c r="V54" i="3"/>
  <c r="W54" i="3"/>
  <c r="X54" i="3"/>
  <c r="Y54" i="3"/>
  <c r="Z54" i="3"/>
  <c r="AA54" i="3"/>
  <c r="AB54" i="3"/>
  <c r="AC54" i="3"/>
  <c r="AD54" i="3"/>
  <c r="B55" i="3"/>
  <c r="C55" i="3"/>
  <c r="D55" i="3"/>
  <c r="E55" i="3"/>
  <c r="F55" i="3"/>
  <c r="G55" i="3"/>
  <c r="H55" i="3"/>
  <c r="I55" i="3"/>
  <c r="J55" i="3"/>
  <c r="K55" i="3"/>
  <c r="L55" i="3"/>
  <c r="M55" i="3"/>
  <c r="N55" i="3"/>
  <c r="O55" i="3"/>
  <c r="P55" i="3"/>
  <c r="Q55" i="3"/>
  <c r="R55" i="3"/>
  <c r="S55" i="3"/>
  <c r="T55" i="3"/>
  <c r="U55" i="3"/>
  <c r="V55" i="3"/>
  <c r="W55" i="3"/>
  <c r="X55" i="3"/>
  <c r="Y55" i="3"/>
  <c r="Z55" i="3"/>
  <c r="AA55" i="3"/>
  <c r="AB55" i="3"/>
  <c r="AC55" i="3"/>
  <c r="AD55" i="3"/>
  <c r="B56" i="3"/>
  <c r="C56" i="3"/>
  <c r="D56" i="3"/>
  <c r="E56" i="3"/>
  <c r="F56" i="3"/>
  <c r="G56" i="3"/>
  <c r="H56" i="3"/>
  <c r="I56" i="3"/>
  <c r="J56" i="3"/>
  <c r="K56" i="3"/>
  <c r="L56" i="3"/>
  <c r="M56" i="3"/>
  <c r="N56" i="3"/>
  <c r="O56" i="3"/>
  <c r="P56" i="3"/>
  <c r="Q56" i="3"/>
  <c r="R56" i="3"/>
  <c r="S56" i="3"/>
  <c r="T56" i="3"/>
  <c r="U56" i="3"/>
  <c r="V56" i="3"/>
  <c r="W56" i="3"/>
  <c r="X56" i="3"/>
  <c r="Y56" i="3"/>
  <c r="Z56" i="3"/>
  <c r="AA56" i="3"/>
  <c r="AB56" i="3"/>
  <c r="AC56" i="3"/>
  <c r="AD56" i="3"/>
  <c r="B57" i="3"/>
  <c r="C57" i="3"/>
  <c r="D57" i="3"/>
  <c r="E57" i="3"/>
  <c r="F57" i="3"/>
  <c r="G57" i="3"/>
  <c r="H57" i="3"/>
  <c r="I57" i="3"/>
  <c r="J57" i="3"/>
  <c r="K57" i="3"/>
  <c r="L57" i="3"/>
  <c r="M57" i="3"/>
  <c r="N57" i="3"/>
  <c r="O57" i="3"/>
  <c r="P57" i="3"/>
  <c r="Q57" i="3"/>
  <c r="R57" i="3"/>
  <c r="S57" i="3"/>
  <c r="T57" i="3"/>
  <c r="U57" i="3"/>
  <c r="V57" i="3"/>
  <c r="W57" i="3"/>
  <c r="X57" i="3"/>
  <c r="Y57" i="3"/>
  <c r="Z57" i="3"/>
  <c r="AA57" i="3"/>
  <c r="AB57" i="3"/>
  <c r="AC57" i="3"/>
  <c r="AD57" i="3"/>
  <c r="B58" i="3"/>
  <c r="C58" i="3"/>
  <c r="D58" i="3"/>
  <c r="E58" i="3"/>
  <c r="F58" i="3"/>
  <c r="G58" i="3"/>
  <c r="H58" i="3"/>
  <c r="I58" i="3"/>
  <c r="J58" i="3"/>
  <c r="K58" i="3"/>
  <c r="L58" i="3"/>
  <c r="M58" i="3"/>
  <c r="N58" i="3"/>
  <c r="O58" i="3"/>
  <c r="P58" i="3"/>
  <c r="Q58" i="3"/>
  <c r="R58" i="3"/>
  <c r="S58" i="3"/>
  <c r="T58" i="3"/>
  <c r="U58" i="3"/>
  <c r="V58" i="3"/>
  <c r="W58" i="3"/>
  <c r="X58" i="3"/>
  <c r="Y58" i="3"/>
  <c r="Z58" i="3"/>
  <c r="AA58" i="3"/>
  <c r="AB58" i="3"/>
  <c r="AC58" i="3"/>
  <c r="AD58" i="3"/>
  <c r="B59" i="3"/>
  <c r="C59" i="3"/>
  <c r="D59" i="3"/>
  <c r="E59" i="3"/>
  <c r="F59" i="3"/>
  <c r="G59" i="3"/>
  <c r="H59" i="3"/>
  <c r="I59" i="3"/>
  <c r="J59" i="3"/>
  <c r="K59" i="3"/>
  <c r="L59" i="3"/>
  <c r="M59" i="3"/>
  <c r="N59" i="3"/>
  <c r="O59" i="3"/>
  <c r="P59" i="3"/>
  <c r="Q59" i="3"/>
  <c r="R59" i="3"/>
  <c r="S59" i="3"/>
  <c r="T59" i="3"/>
  <c r="U59" i="3"/>
  <c r="V59" i="3"/>
  <c r="W59" i="3"/>
  <c r="X59" i="3"/>
  <c r="Y59" i="3"/>
  <c r="Z59" i="3"/>
  <c r="AA59" i="3"/>
  <c r="AB59" i="3"/>
  <c r="AC59" i="3"/>
  <c r="AD59" i="3"/>
  <c r="B60" i="3"/>
  <c r="C60" i="3"/>
  <c r="D60" i="3"/>
  <c r="E60" i="3"/>
  <c r="F60" i="3"/>
  <c r="G60" i="3"/>
  <c r="H60" i="3"/>
  <c r="I60" i="3"/>
  <c r="J60" i="3"/>
  <c r="K60" i="3"/>
  <c r="L60" i="3"/>
  <c r="M60" i="3"/>
  <c r="N60" i="3"/>
  <c r="O60" i="3"/>
  <c r="P60" i="3"/>
  <c r="Q60" i="3"/>
  <c r="R60" i="3"/>
  <c r="S60" i="3"/>
  <c r="T60" i="3"/>
  <c r="U60" i="3"/>
  <c r="V60" i="3"/>
  <c r="W60" i="3"/>
  <c r="X60" i="3"/>
  <c r="Y60" i="3"/>
  <c r="Z60" i="3"/>
  <c r="AA60" i="3"/>
  <c r="AB60" i="3"/>
  <c r="AC60" i="3"/>
  <c r="AD60" i="3"/>
  <c r="B61" i="3"/>
  <c r="C61" i="3"/>
  <c r="D61" i="3"/>
  <c r="E61" i="3"/>
  <c r="F61" i="3"/>
  <c r="G61" i="3"/>
  <c r="H61" i="3"/>
  <c r="I61" i="3"/>
  <c r="J61" i="3"/>
  <c r="K61" i="3"/>
  <c r="L61" i="3"/>
  <c r="M61" i="3"/>
  <c r="N61" i="3"/>
  <c r="O61" i="3"/>
  <c r="P61" i="3"/>
  <c r="Q61" i="3"/>
  <c r="R61" i="3"/>
  <c r="S61" i="3"/>
  <c r="T61" i="3"/>
  <c r="U61" i="3"/>
  <c r="V61" i="3"/>
  <c r="W61" i="3"/>
  <c r="X61" i="3"/>
  <c r="Y61" i="3"/>
  <c r="Z61" i="3"/>
  <c r="AA61" i="3"/>
  <c r="AB61" i="3"/>
  <c r="AC61" i="3"/>
  <c r="AD61" i="3"/>
  <c r="B62" i="3"/>
  <c r="C62" i="3"/>
  <c r="D62" i="3"/>
  <c r="E62" i="3"/>
  <c r="F62" i="3"/>
  <c r="G62" i="3"/>
  <c r="H62" i="3"/>
  <c r="I62" i="3"/>
  <c r="J62" i="3"/>
  <c r="K62" i="3"/>
  <c r="L62" i="3"/>
  <c r="M62" i="3"/>
  <c r="N62" i="3"/>
  <c r="O62" i="3"/>
  <c r="P62" i="3"/>
  <c r="Q62" i="3"/>
  <c r="R62" i="3"/>
  <c r="S62" i="3"/>
  <c r="T62" i="3"/>
  <c r="U62" i="3"/>
  <c r="V62" i="3"/>
  <c r="W62" i="3"/>
  <c r="X62" i="3"/>
  <c r="Y62" i="3"/>
  <c r="Z62" i="3"/>
  <c r="AA62" i="3"/>
  <c r="AB62" i="3"/>
  <c r="AC62" i="3"/>
  <c r="AD62" i="3"/>
  <c r="B63" i="3"/>
  <c r="C63" i="3"/>
  <c r="D63" i="3"/>
  <c r="E63" i="3"/>
  <c r="F63" i="3"/>
  <c r="G63" i="3"/>
  <c r="H63" i="3"/>
  <c r="I63" i="3"/>
  <c r="J63" i="3"/>
  <c r="K63" i="3"/>
  <c r="L63" i="3"/>
  <c r="M63" i="3"/>
  <c r="N63" i="3"/>
  <c r="O63" i="3"/>
  <c r="P63" i="3"/>
  <c r="Q63" i="3"/>
  <c r="R63" i="3"/>
  <c r="S63" i="3"/>
  <c r="T63" i="3"/>
  <c r="U63" i="3"/>
  <c r="V63" i="3"/>
  <c r="W63" i="3"/>
  <c r="X63" i="3"/>
  <c r="Y63" i="3"/>
  <c r="Z63" i="3"/>
  <c r="AA63" i="3"/>
  <c r="AB63" i="3"/>
  <c r="AC63" i="3"/>
  <c r="AD63" i="3"/>
  <c r="B64" i="3"/>
  <c r="C64" i="3"/>
  <c r="D64" i="3"/>
  <c r="E64" i="3"/>
  <c r="F64" i="3"/>
  <c r="G64" i="3"/>
  <c r="H64" i="3"/>
  <c r="I64" i="3"/>
  <c r="J64" i="3"/>
  <c r="K64" i="3"/>
  <c r="L64" i="3"/>
  <c r="M64" i="3"/>
  <c r="N64" i="3"/>
  <c r="O64" i="3"/>
  <c r="P64" i="3"/>
  <c r="Q64" i="3"/>
  <c r="R64" i="3"/>
  <c r="S64" i="3"/>
  <c r="T64" i="3"/>
  <c r="U64" i="3"/>
  <c r="V64" i="3"/>
  <c r="W64" i="3"/>
  <c r="X64" i="3"/>
  <c r="Y64" i="3"/>
  <c r="Z64" i="3"/>
  <c r="AA64" i="3"/>
  <c r="AB64" i="3"/>
  <c r="AC64" i="3"/>
  <c r="AD64" i="3"/>
  <c r="B65" i="3"/>
  <c r="C65" i="3"/>
  <c r="D65" i="3"/>
  <c r="E65" i="3"/>
  <c r="F65" i="3"/>
  <c r="G65" i="3"/>
  <c r="H65" i="3"/>
  <c r="I65" i="3"/>
  <c r="J65" i="3"/>
  <c r="K65" i="3"/>
  <c r="L65" i="3"/>
  <c r="M65" i="3"/>
  <c r="N65" i="3"/>
  <c r="O65" i="3"/>
  <c r="P65" i="3"/>
  <c r="Q65" i="3"/>
  <c r="R65" i="3"/>
  <c r="S65" i="3"/>
  <c r="T65" i="3"/>
  <c r="U65" i="3"/>
  <c r="V65" i="3"/>
  <c r="W65" i="3"/>
  <c r="X65" i="3"/>
  <c r="Y65" i="3"/>
  <c r="Z65" i="3"/>
  <c r="AA65" i="3"/>
  <c r="AB65" i="3"/>
  <c r="AC65" i="3"/>
  <c r="AD65" i="3"/>
  <c r="B66" i="3"/>
  <c r="C66" i="3"/>
  <c r="D66" i="3"/>
  <c r="E66" i="3"/>
  <c r="F66" i="3"/>
  <c r="G66" i="3"/>
  <c r="H66" i="3"/>
  <c r="I66" i="3"/>
  <c r="J66" i="3"/>
  <c r="K66" i="3"/>
  <c r="L66" i="3"/>
  <c r="M66" i="3"/>
  <c r="N66" i="3"/>
  <c r="O66" i="3"/>
  <c r="P66" i="3"/>
  <c r="Q66" i="3"/>
  <c r="R66" i="3"/>
  <c r="S66" i="3"/>
  <c r="T66" i="3"/>
  <c r="U66" i="3"/>
  <c r="V66" i="3"/>
  <c r="W66" i="3"/>
  <c r="X66" i="3"/>
  <c r="Y66" i="3"/>
  <c r="Z66" i="3"/>
  <c r="AA66" i="3"/>
  <c r="AB66" i="3"/>
  <c r="AC66" i="3"/>
  <c r="AD66" i="3"/>
  <c r="B67" i="3"/>
  <c r="C67" i="3"/>
  <c r="D67" i="3"/>
  <c r="E67" i="3"/>
  <c r="F67" i="3"/>
  <c r="G67" i="3"/>
  <c r="H67" i="3"/>
  <c r="I67" i="3"/>
  <c r="J67" i="3"/>
  <c r="K67" i="3"/>
  <c r="L67" i="3"/>
  <c r="M67" i="3"/>
  <c r="N67" i="3"/>
  <c r="O67" i="3"/>
  <c r="P67" i="3"/>
  <c r="Q67" i="3"/>
  <c r="R67" i="3"/>
  <c r="S67" i="3"/>
  <c r="T67" i="3"/>
  <c r="U67" i="3"/>
  <c r="V67" i="3"/>
  <c r="W67" i="3"/>
  <c r="X67" i="3"/>
  <c r="Y67" i="3"/>
  <c r="Z67" i="3"/>
  <c r="AA67" i="3"/>
  <c r="AB67" i="3"/>
  <c r="AC67" i="3"/>
  <c r="AD67" i="3"/>
  <c r="B68" i="3"/>
  <c r="C68" i="3"/>
  <c r="D68" i="3"/>
  <c r="E68" i="3"/>
  <c r="F68" i="3"/>
  <c r="G68" i="3"/>
  <c r="H68" i="3"/>
  <c r="I68" i="3"/>
  <c r="J68" i="3"/>
  <c r="K68" i="3"/>
  <c r="L68" i="3"/>
  <c r="M68" i="3"/>
  <c r="N68" i="3"/>
  <c r="O68" i="3"/>
  <c r="P68" i="3"/>
  <c r="Q68" i="3"/>
  <c r="R68" i="3"/>
  <c r="S68" i="3"/>
  <c r="T68" i="3"/>
  <c r="U68" i="3"/>
  <c r="V68" i="3"/>
  <c r="W68" i="3"/>
  <c r="X68" i="3"/>
  <c r="Y68" i="3"/>
  <c r="Z68" i="3"/>
  <c r="AA68" i="3"/>
  <c r="AB68" i="3"/>
  <c r="AC68" i="3"/>
  <c r="AD68" i="3"/>
  <c r="B69" i="3"/>
  <c r="C69" i="3"/>
  <c r="D69" i="3"/>
  <c r="E69" i="3"/>
  <c r="F69" i="3"/>
  <c r="G69" i="3"/>
  <c r="H69" i="3"/>
  <c r="I69" i="3"/>
  <c r="J69" i="3"/>
  <c r="K69" i="3"/>
  <c r="L69" i="3"/>
  <c r="M69" i="3"/>
  <c r="N69" i="3"/>
  <c r="O69" i="3"/>
  <c r="P69" i="3"/>
  <c r="Q69" i="3"/>
  <c r="R69" i="3"/>
  <c r="S69" i="3"/>
  <c r="T69" i="3"/>
  <c r="U69" i="3"/>
  <c r="V69" i="3"/>
  <c r="W69" i="3"/>
  <c r="X69" i="3"/>
  <c r="Y69" i="3"/>
  <c r="Z69" i="3"/>
  <c r="AA69" i="3"/>
  <c r="AB69" i="3"/>
  <c r="AC69" i="3"/>
  <c r="AD69" i="3"/>
  <c r="B70" i="3"/>
  <c r="C70" i="3"/>
  <c r="D70" i="3"/>
  <c r="E70" i="3"/>
  <c r="F70" i="3"/>
  <c r="G70" i="3"/>
  <c r="H70" i="3"/>
  <c r="I70" i="3"/>
  <c r="J70" i="3"/>
  <c r="K70" i="3"/>
  <c r="L70" i="3"/>
  <c r="M70" i="3"/>
  <c r="N70" i="3"/>
  <c r="O70" i="3"/>
  <c r="P70" i="3"/>
  <c r="Q70" i="3"/>
  <c r="R70" i="3"/>
  <c r="S70" i="3"/>
  <c r="T70" i="3"/>
  <c r="U70" i="3"/>
  <c r="V70" i="3"/>
  <c r="W70" i="3"/>
  <c r="X70" i="3"/>
  <c r="Y70" i="3"/>
  <c r="Z70" i="3"/>
  <c r="AA70" i="3"/>
  <c r="AB70" i="3"/>
  <c r="AC70" i="3"/>
  <c r="AD70" i="3"/>
  <c r="B71" i="3"/>
  <c r="C71" i="3"/>
  <c r="D71" i="3"/>
  <c r="E71" i="3"/>
  <c r="F71" i="3"/>
  <c r="G71" i="3"/>
  <c r="H71" i="3"/>
  <c r="I71" i="3"/>
  <c r="J71" i="3"/>
  <c r="K71" i="3"/>
  <c r="L71" i="3"/>
  <c r="M71" i="3"/>
  <c r="N71" i="3"/>
  <c r="O71" i="3"/>
  <c r="P71" i="3"/>
  <c r="Q71" i="3"/>
  <c r="R71" i="3"/>
  <c r="S71" i="3"/>
  <c r="T71" i="3"/>
  <c r="U71" i="3"/>
  <c r="V71" i="3"/>
  <c r="W71" i="3"/>
  <c r="X71" i="3"/>
  <c r="Y71" i="3"/>
  <c r="Z71" i="3"/>
  <c r="AA71" i="3"/>
  <c r="AB71" i="3"/>
  <c r="AC71" i="3"/>
  <c r="AD71" i="3"/>
  <c r="B72" i="3"/>
  <c r="C72" i="3"/>
  <c r="D72" i="3"/>
  <c r="E72" i="3"/>
  <c r="F72" i="3"/>
  <c r="G72" i="3"/>
  <c r="H72" i="3"/>
  <c r="I72" i="3"/>
  <c r="J72" i="3"/>
  <c r="K72" i="3"/>
  <c r="L72" i="3"/>
  <c r="M72" i="3"/>
  <c r="N72" i="3"/>
  <c r="O72" i="3"/>
  <c r="P72" i="3"/>
  <c r="Q72" i="3"/>
  <c r="R72" i="3"/>
  <c r="S72" i="3"/>
  <c r="T72" i="3"/>
  <c r="U72" i="3"/>
  <c r="V72" i="3"/>
  <c r="W72" i="3"/>
  <c r="X72" i="3"/>
  <c r="Y72" i="3"/>
  <c r="Z72" i="3"/>
  <c r="AA72" i="3"/>
  <c r="AB72" i="3"/>
  <c r="AC72" i="3"/>
  <c r="AD72" i="3"/>
  <c r="B73" i="3"/>
  <c r="C73" i="3"/>
  <c r="D73" i="3"/>
  <c r="E73" i="3"/>
  <c r="F73" i="3"/>
  <c r="G73" i="3"/>
  <c r="H73" i="3"/>
  <c r="I73" i="3"/>
  <c r="J73" i="3"/>
  <c r="K73" i="3"/>
  <c r="L73" i="3"/>
  <c r="M73" i="3"/>
  <c r="N73" i="3"/>
  <c r="O73" i="3"/>
  <c r="P73" i="3"/>
  <c r="Q73" i="3"/>
  <c r="R73" i="3"/>
  <c r="S73" i="3"/>
  <c r="T73" i="3"/>
  <c r="U73" i="3"/>
  <c r="V73" i="3"/>
  <c r="W73" i="3"/>
  <c r="X73" i="3"/>
  <c r="Y73" i="3"/>
  <c r="Z73" i="3"/>
  <c r="AA73" i="3"/>
  <c r="AB73" i="3"/>
  <c r="AC73" i="3"/>
  <c r="AD73" i="3"/>
  <c r="B74" i="3"/>
  <c r="C74" i="3"/>
  <c r="D74" i="3"/>
  <c r="E74" i="3"/>
  <c r="F74" i="3"/>
  <c r="G74" i="3"/>
  <c r="H74" i="3"/>
  <c r="I74" i="3"/>
  <c r="J74" i="3"/>
  <c r="K74" i="3"/>
  <c r="L74" i="3"/>
  <c r="M74" i="3"/>
  <c r="N74" i="3"/>
  <c r="O74" i="3"/>
  <c r="P74" i="3"/>
  <c r="Q74" i="3"/>
  <c r="R74" i="3"/>
  <c r="S74" i="3"/>
  <c r="T74" i="3"/>
  <c r="U74" i="3"/>
  <c r="V74" i="3"/>
  <c r="W74" i="3"/>
  <c r="X74" i="3"/>
  <c r="Y74" i="3"/>
  <c r="Z74" i="3"/>
  <c r="AA74" i="3"/>
  <c r="AB74" i="3"/>
  <c r="AC74" i="3"/>
  <c r="AD74" i="3"/>
  <c r="B75" i="3"/>
  <c r="C75" i="3"/>
  <c r="D75" i="3"/>
  <c r="E75" i="3"/>
  <c r="F75" i="3"/>
  <c r="G75" i="3"/>
  <c r="H75" i="3"/>
  <c r="I75" i="3"/>
  <c r="J75" i="3"/>
  <c r="K75" i="3"/>
  <c r="L75" i="3"/>
  <c r="M75" i="3"/>
  <c r="N75" i="3"/>
  <c r="O75" i="3"/>
  <c r="P75" i="3"/>
  <c r="Q75" i="3"/>
  <c r="R75" i="3"/>
  <c r="S75" i="3"/>
  <c r="T75" i="3"/>
  <c r="U75" i="3"/>
  <c r="V75" i="3"/>
  <c r="W75" i="3"/>
  <c r="X75" i="3"/>
  <c r="Y75" i="3"/>
  <c r="Z75" i="3"/>
  <c r="AA75" i="3"/>
  <c r="AB75" i="3"/>
  <c r="AC75" i="3"/>
  <c r="AD75" i="3"/>
  <c r="B76" i="3"/>
  <c r="C76" i="3"/>
  <c r="D76" i="3"/>
  <c r="E76" i="3"/>
  <c r="F76" i="3"/>
  <c r="G76" i="3"/>
  <c r="H76" i="3"/>
  <c r="I76" i="3"/>
  <c r="J76" i="3"/>
  <c r="K76" i="3"/>
  <c r="L76" i="3"/>
  <c r="M76" i="3"/>
  <c r="N76" i="3"/>
  <c r="O76" i="3"/>
  <c r="P76" i="3"/>
  <c r="Q76" i="3"/>
  <c r="R76" i="3"/>
  <c r="S76" i="3"/>
  <c r="T76" i="3"/>
  <c r="U76" i="3"/>
  <c r="V76" i="3"/>
  <c r="W76" i="3"/>
  <c r="X76" i="3"/>
  <c r="Y76" i="3"/>
  <c r="Z76" i="3"/>
  <c r="AA76" i="3"/>
  <c r="AB76" i="3"/>
  <c r="AC76" i="3"/>
  <c r="AD76" i="3"/>
  <c r="B77" i="3"/>
  <c r="C77" i="3"/>
  <c r="D77" i="3"/>
  <c r="E77" i="3"/>
  <c r="F77" i="3"/>
  <c r="G77" i="3"/>
  <c r="H77" i="3"/>
  <c r="I77" i="3"/>
  <c r="J77" i="3"/>
  <c r="K77" i="3"/>
  <c r="L77" i="3"/>
  <c r="M77" i="3"/>
  <c r="N77" i="3"/>
  <c r="O77" i="3"/>
  <c r="P77" i="3"/>
  <c r="Q77" i="3"/>
  <c r="R77" i="3"/>
  <c r="S77" i="3"/>
  <c r="T77" i="3"/>
  <c r="U77" i="3"/>
  <c r="V77" i="3"/>
  <c r="W77" i="3"/>
  <c r="X77" i="3"/>
  <c r="Y77" i="3"/>
  <c r="Z77" i="3"/>
  <c r="AA77" i="3"/>
  <c r="AB77" i="3"/>
  <c r="AC77" i="3"/>
  <c r="AD77" i="3"/>
  <c r="B78" i="3"/>
  <c r="C78" i="3"/>
  <c r="D78" i="3"/>
  <c r="E78" i="3"/>
  <c r="F78" i="3"/>
  <c r="G78" i="3"/>
  <c r="H78" i="3"/>
  <c r="I78" i="3"/>
  <c r="J78" i="3"/>
  <c r="K78" i="3"/>
  <c r="L78" i="3"/>
  <c r="M78" i="3"/>
  <c r="N78" i="3"/>
  <c r="O78" i="3"/>
  <c r="P78" i="3"/>
  <c r="Q78" i="3"/>
  <c r="R78" i="3"/>
  <c r="S78" i="3"/>
  <c r="T78" i="3"/>
  <c r="U78" i="3"/>
  <c r="V78" i="3"/>
  <c r="W78" i="3"/>
  <c r="X78" i="3"/>
  <c r="Y78" i="3"/>
  <c r="Z78" i="3"/>
  <c r="AA78" i="3"/>
  <c r="AB78" i="3"/>
  <c r="AC78" i="3"/>
  <c r="AD78" i="3"/>
  <c r="B79" i="3"/>
  <c r="C79" i="3"/>
  <c r="D79" i="3"/>
  <c r="E79" i="3"/>
  <c r="F79" i="3"/>
  <c r="G79" i="3"/>
  <c r="H79" i="3"/>
  <c r="I79" i="3"/>
  <c r="J79" i="3"/>
  <c r="K79" i="3"/>
  <c r="L79" i="3"/>
  <c r="M79" i="3"/>
  <c r="N79" i="3"/>
  <c r="O79" i="3"/>
  <c r="P79" i="3"/>
  <c r="Q79" i="3"/>
  <c r="R79" i="3"/>
  <c r="S79" i="3"/>
  <c r="T79" i="3"/>
  <c r="U79" i="3"/>
  <c r="V79" i="3"/>
  <c r="W79" i="3"/>
  <c r="X79" i="3"/>
  <c r="Y79" i="3"/>
  <c r="Z79" i="3"/>
  <c r="AA79" i="3"/>
  <c r="AB79" i="3"/>
  <c r="AC79" i="3"/>
  <c r="AD79" i="3"/>
  <c r="B80" i="3"/>
  <c r="C80" i="3"/>
  <c r="D80" i="3"/>
  <c r="E80" i="3"/>
  <c r="F80" i="3"/>
  <c r="G80" i="3"/>
  <c r="H80" i="3"/>
  <c r="I80" i="3"/>
  <c r="J80" i="3"/>
  <c r="K80" i="3"/>
  <c r="L80" i="3"/>
  <c r="M80" i="3"/>
  <c r="N80" i="3"/>
  <c r="O80" i="3"/>
  <c r="P80" i="3"/>
  <c r="Q80" i="3"/>
  <c r="R80" i="3"/>
  <c r="S80" i="3"/>
  <c r="T80" i="3"/>
  <c r="U80" i="3"/>
  <c r="V80" i="3"/>
  <c r="W80" i="3"/>
  <c r="X80" i="3"/>
  <c r="Y80" i="3"/>
  <c r="Z80" i="3"/>
  <c r="AA80" i="3"/>
  <c r="AB80" i="3"/>
  <c r="AC80" i="3"/>
  <c r="AD80" i="3"/>
  <c r="B81" i="3"/>
  <c r="C81" i="3"/>
  <c r="D81" i="3"/>
  <c r="E81" i="3"/>
  <c r="F81" i="3"/>
  <c r="G81" i="3"/>
  <c r="H81" i="3"/>
  <c r="I81" i="3"/>
  <c r="J81" i="3"/>
  <c r="K81" i="3"/>
  <c r="L81" i="3"/>
  <c r="M81" i="3"/>
  <c r="N81" i="3"/>
  <c r="O81" i="3"/>
  <c r="P81" i="3"/>
  <c r="Q81" i="3"/>
  <c r="R81" i="3"/>
  <c r="S81" i="3"/>
  <c r="T81" i="3"/>
  <c r="U81" i="3"/>
  <c r="V81" i="3"/>
  <c r="W81" i="3"/>
  <c r="X81" i="3"/>
  <c r="Y81" i="3"/>
  <c r="Z81" i="3"/>
  <c r="AA81" i="3"/>
  <c r="AB81" i="3"/>
  <c r="AC81" i="3"/>
  <c r="AD81" i="3"/>
  <c r="B82" i="3"/>
  <c r="C82" i="3"/>
  <c r="D82" i="3"/>
  <c r="E82" i="3"/>
  <c r="F82" i="3"/>
  <c r="G82" i="3"/>
  <c r="H82" i="3"/>
  <c r="I82" i="3"/>
  <c r="J82" i="3"/>
  <c r="K82" i="3"/>
  <c r="L82" i="3"/>
  <c r="M82" i="3"/>
  <c r="N82" i="3"/>
  <c r="O82" i="3"/>
  <c r="P82" i="3"/>
  <c r="Q82" i="3"/>
  <c r="R82" i="3"/>
  <c r="S82" i="3"/>
  <c r="T82" i="3"/>
  <c r="U82" i="3"/>
  <c r="V82" i="3"/>
  <c r="W82" i="3"/>
  <c r="X82" i="3"/>
  <c r="Y82" i="3"/>
  <c r="Z82" i="3"/>
  <c r="AA82" i="3"/>
  <c r="AB82" i="3"/>
  <c r="AC82" i="3"/>
  <c r="AD82" i="3"/>
  <c r="B83" i="3"/>
  <c r="C83" i="3"/>
  <c r="D83" i="3"/>
  <c r="E83" i="3"/>
  <c r="F83" i="3"/>
  <c r="G83" i="3"/>
  <c r="H83" i="3"/>
  <c r="I83" i="3"/>
  <c r="J83" i="3"/>
  <c r="K83" i="3"/>
  <c r="L83" i="3"/>
  <c r="M83" i="3"/>
  <c r="N83" i="3"/>
  <c r="O83" i="3"/>
  <c r="P83" i="3"/>
  <c r="Q83" i="3"/>
  <c r="R83" i="3"/>
  <c r="S83" i="3"/>
  <c r="T83" i="3"/>
  <c r="U83" i="3"/>
  <c r="V83" i="3"/>
  <c r="W83" i="3"/>
  <c r="X83" i="3"/>
  <c r="Y83" i="3"/>
  <c r="Z83" i="3"/>
  <c r="AA83" i="3"/>
  <c r="AB83" i="3"/>
  <c r="AC83" i="3"/>
  <c r="AD83" i="3"/>
  <c r="B84" i="3"/>
  <c r="C84" i="3"/>
  <c r="D84" i="3"/>
  <c r="E84" i="3"/>
  <c r="F84" i="3"/>
  <c r="G84" i="3"/>
  <c r="H84" i="3"/>
  <c r="I84" i="3"/>
  <c r="J84" i="3"/>
  <c r="K84" i="3"/>
  <c r="L84" i="3"/>
  <c r="M84" i="3"/>
  <c r="N84" i="3"/>
  <c r="O84" i="3"/>
  <c r="P84" i="3"/>
  <c r="Q84" i="3"/>
  <c r="R84" i="3"/>
  <c r="S84" i="3"/>
  <c r="T84" i="3"/>
  <c r="U84" i="3"/>
  <c r="V84" i="3"/>
  <c r="W84" i="3"/>
  <c r="X84" i="3"/>
  <c r="Y84" i="3"/>
  <c r="Z84" i="3"/>
  <c r="AA84" i="3"/>
  <c r="AB84" i="3"/>
  <c r="AC84" i="3"/>
  <c r="AD84" i="3"/>
  <c r="B85" i="3"/>
  <c r="C85" i="3"/>
  <c r="D85" i="3"/>
  <c r="E85" i="3"/>
  <c r="F85" i="3"/>
  <c r="G85" i="3"/>
  <c r="H85" i="3"/>
  <c r="I85" i="3"/>
  <c r="J85" i="3"/>
  <c r="K85" i="3"/>
  <c r="L85" i="3"/>
  <c r="M85" i="3"/>
  <c r="N85" i="3"/>
  <c r="O85" i="3"/>
  <c r="P85" i="3"/>
  <c r="Q85" i="3"/>
  <c r="R85" i="3"/>
  <c r="S85" i="3"/>
  <c r="T85" i="3"/>
  <c r="U85" i="3"/>
  <c r="V85" i="3"/>
  <c r="W85" i="3"/>
  <c r="X85" i="3"/>
  <c r="Y85" i="3"/>
  <c r="Z85" i="3"/>
  <c r="AA85" i="3"/>
  <c r="AB85" i="3"/>
  <c r="AC85" i="3"/>
  <c r="AD85" i="3"/>
  <c r="B86" i="3"/>
  <c r="C86" i="3"/>
  <c r="D86" i="3"/>
  <c r="E86" i="3"/>
  <c r="F86" i="3"/>
  <c r="G86" i="3"/>
  <c r="H86" i="3"/>
  <c r="I86" i="3"/>
  <c r="J86" i="3"/>
  <c r="K86" i="3"/>
  <c r="L86" i="3"/>
  <c r="M86" i="3"/>
  <c r="N86" i="3"/>
  <c r="O86" i="3"/>
  <c r="P86" i="3"/>
  <c r="Q86" i="3"/>
  <c r="R86" i="3"/>
  <c r="S86" i="3"/>
  <c r="T86" i="3"/>
  <c r="U86" i="3"/>
  <c r="V86" i="3"/>
  <c r="W86" i="3"/>
  <c r="X86" i="3"/>
  <c r="Y86" i="3"/>
  <c r="Z86" i="3"/>
  <c r="AA86" i="3"/>
  <c r="AB86" i="3"/>
  <c r="AC86" i="3"/>
  <c r="AD86" i="3"/>
  <c r="B87" i="3"/>
  <c r="C87" i="3"/>
  <c r="D87" i="3"/>
  <c r="E87" i="3"/>
  <c r="F87" i="3"/>
  <c r="G87" i="3"/>
  <c r="H87" i="3"/>
  <c r="I87" i="3"/>
  <c r="J87" i="3"/>
  <c r="K87" i="3"/>
  <c r="L87" i="3"/>
  <c r="M87" i="3"/>
  <c r="N87" i="3"/>
  <c r="O87" i="3"/>
  <c r="P87" i="3"/>
  <c r="Q87" i="3"/>
  <c r="R87" i="3"/>
  <c r="S87" i="3"/>
  <c r="T87" i="3"/>
  <c r="U87" i="3"/>
  <c r="V87" i="3"/>
  <c r="W87" i="3"/>
  <c r="X87" i="3"/>
  <c r="Y87" i="3"/>
  <c r="Z87" i="3"/>
  <c r="AA87" i="3"/>
  <c r="AB87" i="3"/>
  <c r="AC87" i="3"/>
  <c r="AD87" i="3"/>
  <c r="B88" i="3"/>
  <c r="C88" i="3"/>
  <c r="D88" i="3"/>
  <c r="E88" i="3"/>
  <c r="F88" i="3"/>
  <c r="G88" i="3"/>
  <c r="H88" i="3"/>
  <c r="I88" i="3"/>
  <c r="J88" i="3"/>
  <c r="K88" i="3"/>
  <c r="L88" i="3"/>
  <c r="M88" i="3"/>
  <c r="N88" i="3"/>
  <c r="O88" i="3"/>
  <c r="P88" i="3"/>
  <c r="Q88" i="3"/>
  <c r="R88" i="3"/>
  <c r="S88" i="3"/>
  <c r="T88" i="3"/>
  <c r="U88" i="3"/>
  <c r="V88" i="3"/>
  <c r="W88" i="3"/>
  <c r="X88" i="3"/>
  <c r="Y88" i="3"/>
  <c r="Z88" i="3"/>
  <c r="AA88" i="3"/>
  <c r="AB88" i="3"/>
  <c r="AC88" i="3"/>
  <c r="AD88" i="3"/>
  <c r="B89" i="3"/>
  <c r="C89" i="3"/>
  <c r="D89" i="3"/>
  <c r="E89" i="3"/>
  <c r="F89" i="3"/>
  <c r="G89" i="3"/>
  <c r="H89" i="3"/>
  <c r="I89" i="3"/>
  <c r="J89" i="3"/>
  <c r="K89" i="3"/>
  <c r="L89" i="3"/>
  <c r="M89" i="3"/>
  <c r="N89" i="3"/>
  <c r="O89" i="3"/>
  <c r="P89" i="3"/>
  <c r="Q89" i="3"/>
  <c r="R89" i="3"/>
  <c r="S89" i="3"/>
  <c r="T89" i="3"/>
  <c r="U89" i="3"/>
  <c r="V89" i="3"/>
  <c r="W89" i="3"/>
  <c r="X89" i="3"/>
  <c r="Y89" i="3"/>
  <c r="Z89" i="3"/>
  <c r="AA89" i="3"/>
  <c r="AB89" i="3"/>
  <c r="AC89" i="3"/>
  <c r="AD89" i="3"/>
  <c r="B90" i="3"/>
  <c r="C90" i="3"/>
  <c r="D90" i="3"/>
  <c r="E90" i="3"/>
  <c r="F90" i="3"/>
  <c r="G90" i="3"/>
  <c r="H90" i="3"/>
  <c r="I90" i="3"/>
  <c r="J90" i="3"/>
  <c r="K90" i="3"/>
  <c r="L90" i="3"/>
  <c r="M90" i="3"/>
  <c r="N90" i="3"/>
  <c r="O90" i="3"/>
  <c r="P90" i="3"/>
  <c r="Q90" i="3"/>
  <c r="R90" i="3"/>
  <c r="S90" i="3"/>
  <c r="T90" i="3"/>
  <c r="U90" i="3"/>
  <c r="V90" i="3"/>
  <c r="W90" i="3"/>
  <c r="X90" i="3"/>
  <c r="Y90" i="3"/>
  <c r="Z90" i="3"/>
  <c r="AA90" i="3"/>
  <c r="AB90" i="3"/>
  <c r="AC90" i="3"/>
  <c r="AD90" i="3"/>
  <c r="B91" i="3"/>
  <c r="C91" i="3"/>
  <c r="D91" i="3"/>
  <c r="E91" i="3"/>
  <c r="F91" i="3"/>
  <c r="G91" i="3"/>
  <c r="H91" i="3"/>
  <c r="I91" i="3"/>
  <c r="J91" i="3"/>
  <c r="K91" i="3"/>
  <c r="L91" i="3"/>
  <c r="M91" i="3"/>
  <c r="N91" i="3"/>
  <c r="O91" i="3"/>
  <c r="P91" i="3"/>
  <c r="Q91" i="3"/>
  <c r="R91" i="3"/>
  <c r="S91" i="3"/>
  <c r="T91" i="3"/>
  <c r="U91" i="3"/>
  <c r="V91" i="3"/>
  <c r="W91" i="3"/>
  <c r="X91" i="3"/>
  <c r="Y91" i="3"/>
  <c r="Z91" i="3"/>
  <c r="AA91" i="3"/>
  <c r="AB91" i="3"/>
  <c r="AC91" i="3"/>
  <c r="AD91" i="3"/>
  <c r="B92" i="3"/>
  <c r="C92" i="3"/>
  <c r="D92" i="3"/>
  <c r="E92" i="3"/>
  <c r="F92" i="3"/>
  <c r="G92" i="3"/>
  <c r="H92" i="3"/>
  <c r="I92" i="3"/>
  <c r="J92" i="3"/>
  <c r="K92" i="3"/>
  <c r="L92" i="3"/>
  <c r="M92" i="3"/>
  <c r="N92" i="3"/>
  <c r="O92" i="3"/>
  <c r="P92" i="3"/>
  <c r="Q92" i="3"/>
  <c r="R92" i="3"/>
  <c r="S92" i="3"/>
  <c r="T92" i="3"/>
  <c r="U92" i="3"/>
  <c r="V92" i="3"/>
  <c r="W92" i="3"/>
  <c r="X92" i="3"/>
  <c r="Y92" i="3"/>
  <c r="Z92" i="3"/>
  <c r="AA92" i="3"/>
  <c r="AB92" i="3"/>
  <c r="AC92" i="3"/>
  <c r="AD92" i="3"/>
  <c r="B93" i="3"/>
  <c r="C93" i="3"/>
  <c r="D93" i="3"/>
  <c r="E93" i="3"/>
  <c r="F93" i="3"/>
  <c r="G93" i="3"/>
  <c r="H93" i="3"/>
  <c r="I93" i="3"/>
  <c r="J93" i="3"/>
  <c r="K93" i="3"/>
  <c r="L93" i="3"/>
  <c r="M93" i="3"/>
  <c r="N93" i="3"/>
  <c r="O93" i="3"/>
  <c r="P93" i="3"/>
  <c r="Q93" i="3"/>
  <c r="R93" i="3"/>
  <c r="S93" i="3"/>
  <c r="T93" i="3"/>
  <c r="U93" i="3"/>
  <c r="V93" i="3"/>
  <c r="W93" i="3"/>
  <c r="X93" i="3"/>
  <c r="Y93" i="3"/>
  <c r="Z93" i="3"/>
  <c r="AA93" i="3"/>
  <c r="AB93" i="3"/>
  <c r="AC93" i="3"/>
  <c r="AD93" i="3"/>
  <c r="B94" i="3"/>
  <c r="C94" i="3"/>
  <c r="D94" i="3"/>
  <c r="E94" i="3"/>
  <c r="F94" i="3"/>
  <c r="G94" i="3"/>
  <c r="H94" i="3"/>
  <c r="I94" i="3"/>
  <c r="J94" i="3"/>
  <c r="K94" i="3"/>
  <c r="L94" i="3"/>
  <c r="M94" i="3"/>
  <c r="N94" i="3"/>
  <c r="O94" i="3"/>
  <c r="P94" i="3"/>
  <c r="Q94" i="3"/>
  <c r="R94" i="3"/>
  <c r="S94" i="3"/>
  <c r="T94" i="3"/>
  <c r="U94" i="3"/>
  <c r="V94" i="3"/>
  <c r="W94" i="3"/>
  <c r="X94" i="3"/>
  <c r="Y94" i="3"/>
  <c r="Z94" i="3"/>
  <c r="AA94" i="3"/>
  <c r="AB94" i="3"/>
  <c r="AC94" i="3"/>
  <c r="AD94" i="3"/>
  <c r="B95" i="3"/>
  <c r="C95" i="3"/>
  <c r="D95" i="3"/>
  <c r="E95" i="3"/>
  <c r="F95" i="3"/>
  <c r="G95" i="3"/>
  <c r="H95" i="3"/>
  <c r="I95" i="3"/>
  <c r="J95" i="3"/>
  <c r="K95" i="3"/>
  <c r="L95" i="3"/>
  <c r="M95" i="3"/>
  <c r="N95" i="3"/>
  <c r="O95" i="3"/>
  <c r="P95" i="3"/>
  <c r="Q95" i="3"/>
  <c r="R95" i="3"/>
  <c r="S95" i="3"/>
  <c r="T95" i="3"/>
  <c r="U95" i="3"/>
  <c r="V95" i="3"/>
  <c r="W95" i="3"/>
  <c r="X95" i="3"/>
  <c r="Y95" i="3"/>
  <c r="Z95" i="3"/>
  <c r="AA95" i="3"/>
  <c r="AB95" i="3"/>
  <c r="AC95" i="3"/>
  <c r="AD95" i="3"/>
  <c r="B96" i="3"/>
  <c r="C96" i="3"/>
  <c r="D96" i="3"/>
  <c r="E96" i="3"/>
  <c r="F96" i="3"/>
  <c r="G96" i="3"/>
  <c r="H96" i="3"/>
  <c r="I96" i="3"/>
  <c r="J96" i="3"/>
  <c r="K96" i="3"/>
  <c r="L96" i="3"/>
  <c r="M96" i="3"/>
  <c r="N96" i="3"/>
  <c r="O96" i="3"/>
  <c r="P96" i="3"/>
  <c r="Q96" i="3"/>
  <c r="R96" i="3"/>
  <c r="S96" i="3"/>
  <c r="T96" i="3"/>
  <c r="U96" i="3"/>
  <c r="V96" i="3"/>
  <c r="W96" i="3"/>
  <c r="X96" i="3"/>
  <c r="Y96" i="3"/>
  <c r="Z96" i="3"/>
  <c r="AA96" i="3"/>
  <c r="AB96" i="3"/>
  <c r="AC96" i="3"/>
  <c r="AD96" i="3"/>
  <c r="B97" i="3"/>
  <c r="C97" i="3"/>
  <c r="D97" i="3"/>
  <c r="E97" i="3"/>
  <c r="F97" i="3"/>
  <c r="G97" i="3"/>
  <c r="H97" i="3"/>
  <c r="I97" i="3"/>
  <c r="J97" i="3"/>
  <c r="K97" i="3"/>
  <c r="L97" i="3"/>
  <c r="M97" i="3"/>
  <c r="N97" i="3"/>
  <c r="O97" i="3"/>
  <c r="P97" i="3"/>
  <c r="Q97" i="3"/>
  <c r="R97" i="3"/>
  <c r="S97" i="3"/>
  <c r="T97" i="3"/>
  <c r="U97" i="3"/>
  <c r="V97" i="3"/>
  <c r="W97" i="3"/>
  <c r="X97" i="3"/>
  <c r="Y97" i="3"/>
  <c r="Z97" i="3"/>
  <c r="AA97" i="3"/>
  <c r="AB97" i="3"/>
  <c r="AC97" i="3"/>
  <c r="AD97" i="3"/>
  <c r="B98" i="3"/>
  <c r="C98" i="3"/>
  <c r="D98" i="3"/>
  <c r="E98" i="3"/>
  <c r="F98" i="3"/>
  <c r="G98" i="3"/>
  <c r="H98" i="3"/>
  <c r="I98" i="3"/>
  <c r="J98" i="3"/>
  <c r="K98" i="3"/>
  <c r="L98" i="3"/>
  <c r="M98" i="3"/>
  <c r="N98" i="3"/>
  <c r="O98" i="3"/>
  <c r="P98" i="3"/>
  <c r="Q98" i="3"/>
  <c r="R98" i="3"/>
  <c r="S98" i="3"/>
  <c r="T98" i="3"/>
  <c r="U98" i="3"/>
  <c r="V98" i="3"/>
  <c r="W98" i="3"/>
  <c r="X98" i="3"/>
  <c r="Y98" i="3"/>
  <c r="Z98" i="3"/>
  <c r="AA98" i="3"/>
  <c r="AB98" i="3"/>
  <c r="AC98" i="3"/>
  <c r="AD98" i="3"/>
  <c r="B99" i="3"/>
  <c r="C99" i="3"/>
  <c r="D99" i="3"/>
  <c r="E99" i="3"/>
  <c r="F99" i="3"/>
  <c r="G99" i="3"/>
  <c r="H99" i="3"/>
  <c r="I99" i="3"/>
  <c r="J99" i="3"/>
  <c r="K99" i="3"/>
  <c r="L99" i="3"/>
  <c r="M99" i="3"/>
  <c r="N99" i="3"/>
  <c r="O99" i="3"/>
  <c r="P99" i="3"/>
  <c r="Q99" i="3"/>
  <c r="R99" i="3"/>
  <c r="S99" i="3"/>
  <c r="T99" i="3"/>
  <c r="U99" i="3"/>
  <c r="V99" i="3"/>
  <c r="W99" i="3"/>
  <c r="X99" i="3"/>
  <c r="Y99" i="3"/>
  <c r="Z99" i="3"/>
  <c r="AA99" i="3"/>
  <c r="AB99" i="3"/>
  <c r="AC99" i="3"/>
  <c r="AD99" i="3"/>
  <c r="B100" i="3"/>
  <c r="C100" i="3"/>
  <c r="D100" i="3"/>
  <c r="E100" i="3"/>
  <c r="F100" i="3"/>
  <c r="G100" i="3"/>
  <c r="H100" i="3"/>
  <c r="I100" i="3"/>
  <c r="J100" i="3"/>
  <c r="K100" i="3"/>
  <c r="L100" i="3"/>
  <c r="M100" i="3"/>
  <c r="N100" i="3"/>
  <c r="O100" i="3"/>
  <c r="P100" i="3"/>
  <c r="Q100" i="3"/>
  <c r="R100" i="3"/>
  <c r="S100" i="3"/>
  <c r="T100" i="3"/>
  <c r="U100" i="3"/>
  <c r="V100" i="3"/>
  <c r="W100" i="3"/>
  <c r="X100" i="3"/>
  <c r="Y100" i="3"/>
  <c r="Z100" i="3"/>
  <c r="AA100" i="3"/>
  <c r="AB100" i="3"/>
  <c r="AC100" i="3"/>
  <c r="AD100" i="3"/>
  <c r="B101" i="3"/>
  <c r="C101" i="3"/>
  <c r="D101" i="3"/>
  <c r="E101" i="3"/>
  <c r="F101" i="3"/>
  <c r="G101" i="3"/>
  <c r="H101" i="3"/>
  <c r="I101" i="3"/>
  <c r="J101" i="3"/>
  <c r="K101" i="3"/>
  <c r="L101" i="3"/>
  <c r="M101" i="3"/>
  <c r="N101" i="3"/>
  <c r="O101" i="3"/>
  <c r="P101" i="3"/>
  <c r="Q101" i="3"/>
  <c r="R101" i="3"/>
  <c r="S101" i="3"/>
  <c r="T101" i="3"/>
  <c r="U101" i="3"/>
  <c r="V101" i="3"/>
  <c r="W101" i="3"/>
  <c r="X101" i="3"/>
  <c r="Y101" i="3"/>
  <c r="Z101" i="3"/>
  <c r="AA101" i="3"/>
  <c r="AB101" i="3"/>
  <c r="AC101" i="3"/>
  <c r="AD101" i="3"/>
  <c r="B102" i="3"/>
  <c r="C102" i="3"/>
  <c r="D102" i="3"/>
  <c r="E102" i="3"/>
  <c r="F102" i="3"/>
  <c r="G102" i="3"/>
  <c r="H102" i="3"/>
  <c r="I102" i="3"/>
  <c r="J102" i="3"/>
  <c r="K102" i="3"/>
  <c r="L102" i="3"/>
  <c r="M102" i="3"/>
  <c r="N102" i="3"/>
  <c r="O102" i="3"/>
  <c r="P102" i="3"/>
  <c r="Q102" i="3"/>
  <c r="R102" i="3"/>
  <c r="S102" i="3"/>
  <c r="T102" i="3"/>
  <c r="U102" i="3"/>
  <c r="V102" i="3"/>
  <c r="W102" i="3"/>
  <c r="X102" i="3"/>
  <c r="Y102" i="3"/>
  <c r="Z102" i="3"/>
  <c r="AA102" i="3"/>
  <c r="AB102" i="3"/>
  <c r="AC102" i="3"/>
  <c r="AD102" i="3"/>
  <c r="B103" i="3"/>
  <c r="C103" i="3"/>
  <c r="D103" i="3"/>
  <c r="E103" i="3"/>
  <c r="F103" i="3"/>
  <c r="G103" i="3"/>
  <c r="H103" i="3"/>
  <c r="I103" i="3"/>
  <c r="J103" i="3"/>
  <c r="K103" i="3"/>
  <c r="L103" i="3"/>
  <c r="M103" i="3"/>
  <c r="N103" i="3"/>
  <c r="O103" i="3"/>
  <c r="P103" i="3"/>
  <c r="Q103" i="3"/>
  <c r="R103" i="3"/>
  <c r="S103" i="3"/>
  <c r="T103" i="3"/>
  <c r="U103" i="3"/>
  <c r="V103" i="3"/>
  <c r="W103" i="3"/>
  <c r="X103" i="3"/>
  <c r="Y103" i="3"/>
  <c r="Z103" i="3"/>
  <c r="AA103" i="3"/>
  <c r="AB103" i="3"/>
  <c r="AC103" i="3"/>
  <c r="AD103" i="3"/>
  <c r="B104" i="3"/>
  <c r="C104" i="3"/>
  <c r="D104" i="3"/>
  <c r="E104" i="3"/>
  <c r="F104" i="3"/>
  <c r="G104" i="3"/>
  <c r="H104" i="3"/>
  <c r="I104" i="3"/>
  <c r="J104" i="3"/>
  <c r="K104" i="3"/>
  <c r="L104" i="3"/>
  <c r="M104" i="3"/>
  <c r="N104" i="3"/>
  <c r="O104" i="3"/>
  <c r="P104" i="3"/>
  <c r="Q104" i="3"/>
  <c r="R104" i="3"/>
  <c r="S104" i="3"/>
  <c r="T104" i="3"/>
  <c r="U104" i="3"/>
  <c r="V104" i="3"/>
  <c r="W104" i="3"/>
  <c r="X104" i="3"/>
  <c r="Y104" i="3"/>
  <c r="Z104" i="3"/>
  <c r="AA104" i="3"/>
  <c r="AB104" i="3"/>
  <c r="AC104" i="3"/>
  <c r="AD104" i="3"/>
  <c r="B105" i="3"/>
  <c r="C105" i="3"/>
  <c r="D105" i="3"/>
  <c r="E105" i="3"/>
  <c r="F105" i="3"/>
  <c r="G105" i="3"/>
  <c r="H105" i="3"/>
  <c r="I105" i="3"/>
  <c r="J105" i="3"/>
  <c r="K105" i="3"/>
  <c r="L105" i="3"/>
  <c r="M105" i="3"/>
  <c r="N105" i="3"/>
  <c r="O105" i="3"/>
  <c r="P105" i="3"/>
  <c r="Q105" i="3"/>
  <c r="R105" i="3"/>
  <c r="S105" i="3"/>
  <c r="T105" i="3"/>
  <c r="U105" i="3"/>
  <c r="V105" i="3"/>
  <c r="W105" i="3"/>
  <c r="X105" i="3"/>
  <c r="Y105" i="3"/>
  <c r="Z105" i="3"/>
  <c r="AA105" i="3"/>
  <c r="AB105" i="3"/>
  <c r="AC105" i="3"/>
  <c r="AD105" i="3"/>
  <c r="B106" i="3"/>
  <c r="C106" i="3"/>
  <c r="D106" i="3"/>
  <c r="E106" i="3"/>
  <c r="F106" i="3"/>
  <c r="G106" i="3"/>
  <c r="H106" i="3"/>
  <c r="I106" i="3"/>
  <c r="J106" i="3"/>
  <c r="K106" i="3"/>
  <c r="L106" i="3"/>
  <c r="M106" i="3"/>
  <c r="N106" i="3"/>
  <c r="O106" i="3"/>
  <c r="P106" i="3"/>
  <c r="Q106" i="3"/>
  <c r="R106" i="3"/>
  <c r="S106" i="3"/>
  <c r="T106" i="3"/>
  <c r="U106" i="3"/>
  <c r="V106" i="3"/>
  <c r="W106" i="3"/>
  <c r="X106" i="3"/>
  <c r="Y106" i="3"/>
  <c r="Z106" i="3"/>
  <c r="AA106" i="3"/>
  <c r="AB106" i="3"/>
  <c r="AC106" i="3"/>
  <c r="AD106" i="3"/>
  <c r="B107" i="3"/>
  <c r="C107" i="3"/>
  <c r="D107" i="3"/>
  <c r="E107" i="3"/>
  <c r="F107" i="3"/>
  <c r="G107" i="3"/>
  <c r="H107" i="3"/>
  <c r="I107" i="3"/>
  <c r="J107" i="3"/>
  <c r="K107" i="3"/>
  <c r="L107" i="3"/>
  <c r="M107" i="3"/>
  <c r="N107" i="3"/>
  <c r="O107" i="3"/>
  <c r="P107" i="3"/>
  <c r="Q107" i="3"/>
  <c r="R107" i="3"/>
  <c r="S107" i="3"/>
  <c r="T107" i="3"/>
  <c r="U107" i="3"/>
  <c r="V107" i="3"/>
  <c r="W107" i="3"/>
  <c r="X107" i="3"/>
  <c r="Y107" i="3"/>
  <c r="Z107" i="3"/>
  <c r="AA107" i="3"/>
  <c r="AB107" i="3"/>
  <c r="AC107" i="3"/>
  <c r="AD107" i="3"/>
  <c r="B108" i="3"/>
  <c r="C108" i="3"/>
  <c r="D108" i="3"/>
  <c r="E108" i="3"/>
  <c r="F108" i="3"/>
  <c r="G108" i="3"/>
  <c r="H108" i="3"/>
  <c r="I108" i="3"/>
  <c r="J108" i="3"/>
  <c r="K108" i="3"/>
  <c r="L108" i="3"/>
  <c r="M108" i="3"/>
  <c r="N108" i="3"/>
  <c r="O108" i="3"/>
  <c r="P108" i="3"/>
  <c r="Q108" i="3"/>
  <c r="R108" i="3"/>
  <c r="S108" i="3"/>
  <c r="T108" i="3"/>
  <c r="U108" i="3"/>
  <c r="V108" i="3"/>
  <c r="W108" i="3"/>
  <c r="X108" i="3"/>
  <c r="Y108" i="3"/>
  <c r="Z108" i="3"/>
  <c r="AA108" i="3"/>
  <c r="AB108" i="3"/>
  <c r="AC108" i="3"/>
  <c r="AD108" i="3"/>
  <c r="B109" i="3"/>
  <c r="C109" i="3"/>
  <c r="D109" i="3"/>
  <c r="E109" i="3"/>
  <c r="F109" i="3"/>
  <c r="G109" i="3"/>
  <c r="H109" i="3"/>
  <c r="I109" i="3"/>
  <c r="J109" i="3"/>
  <c r="K109" i="3"/>
  <c r="L109" i="3"/>
  <c r="M109" i="3"/>
  <c r="N109" i="3"/>
  <c r="O109" i="3"/>
  <c r="P109" i="3"/>
  <c r="Q109" i="3"/>
  <c r="R109" i="3"/>
  <c r="S109" i="3"/>
  <c r="T109" i="3"/>
  <c r="U109" i="3"/>
  <c r="V109" i="3"/>
  <c r="W109" i="3"/>
  <c r="X109" i="3"/>
  <c r="Y109" i="3"/>
  <c r="Z109" i="3"/>
  <c r="AA109" i="3"/>
  <c r="AB109" i="3"/>
  <c r="AC109" i="3"/>
  <c r="AD109" i="3"/>
  <c r="B110" i="3"/>
  <c r="C110" i="3"/>
  <c r="D110" i="3"/>
  <c r="E110" i="3"/>
  <c r="F110" i="3"/>
  <c r="G110" i="3"/>
  <c r="H110" i="3"/>
  <c r="I110" i="3"/>
  <c r="J110" i="3"/>
  <c r="K110" i="3"/>
  <c r="L110" i="3"/>
  <c r="M110" i="3"/>
  <c r="N110" i="3"/>
  <c r="O110" i="3"/>
  <c r="P110" i="3"/>
  <c r="Q110" i="3"/>
  <c r="R110" i="3"/>
  <c r="S110" i="3"/>
  <c r="T110" i="3"/>
  <c r="U110" i="3"/>
  <c r="V110" i="3"/>
  <c r="W110" i="3"/>
  <c r="X110" i="3"/>
  <c r="Y110" i="3"/>
  <c r="Z110" i="3"/>
  <c r="AA110" i="3"/>
  <c r="AB110" i="3"/>
  <c r="AC110" i="3"/>
  <c r="AD110" i="3"/>
  <c r="B111" i="3"/>
  <c r="C111" i="3"/>
  <c r="D111" i="3"/>
  <c r="E111" i="3"/>
  <c r="F111" i="3"/>
  <c r="G111" i="3"/>
  <c r="H111" i="3"/>
  <c r="I111" i="3"/>
  <c r="J111" i="3"/>
  <c r="K111" i="3"/>
  <c r="L111" i="3"/>
  <c r="M111" i="3"/>
  <c r="N111" i="3"/>
  <c r="O111" i="3"/>
  <c r="P111" i="3"/>
  <c r="Q111" i="3"/>
  <c r="R111" i="3"/>
  <c r="S111" i="3"/>
  <c r="T111" i="3"/>
  <c r="U111" i="3"/>
  <c r="V111" i="3"/>
  <c r="W111" i="3"/>
  <c r="X111" i="3"/>
  <c r="Y111" i="3"/>
  <c r="Z111" i="3"/>
  <c r="AA111" i="3"/>
  <c r="AB111" i="3"/>
  <c r="AC111" i="3"/>
  <c r="AD111" i="3"/>
  <c r="F112" i="3"/>
  <c r="G112" i="3"/>
  <c r="H112" i="3"/>
  <c r="I112" i="3"/>
  <c r="J112" i="3"/>
  <c r="K112" i="3"/>
  <c r="L112" i="3"/>
  <c r="M112" i="3"/>
  <c r="N112" i="3"/>
  <c r="O112" i="3"/>
  <c r="P112" i="3"/>
  <c r="Q112" i="3"/>
  <c r="R112" i="3"/>
  <c r="S112" i="3"/>
  <c r="T112" i="3"/>
  <c r="U112" i="3"/>
  <c r="V112" i="3"/>
  <c r="W112" i="3"/>
  <c r="X112" i="3"/>
  <c r="Y112" i="3"/>
  <c r="Z112" i="3"/>
  <c r="AA112" i="3"/>
  <c r="AB112" i="3"/>
  <c r="AC112" i="3"/>
  <c r="AD112" i="3"/>
  <c r="B113" i="3"/>
  <c r="C113" i="3"/>
  <c r="D113" i="3"/>
  <c r="E113" i="3"/>
  <c r="F113" i="3"/>
  <c r="G113" i="3"/>
  <c r="H113" i="3"/>
  <c r="I113" i="3"/>
  <c r="J113" i="3"/>
  <c r="K113" i="3"/>
  <c r="L113" i="3"/>
  <c r="M113" i="3"/>
  <c r="N113" i="3"/>
  <c r="O113" i="3"/>
  <c r="P113" i="3"/>
  <c r="Q113" i="3"/>
  <c r="R113" i="3"/>
  <c r="S113" i="3"/>
  <c r="T113" i="3"/>
  <c r="U113" i="3"/>
  <c r="V113" i="3"/>
  <c r="W113" i="3"/>
  <c r="X113" i="3"/>
  <c r="Y113" i="3"/>
  <c r="Z113" i="3"/>
  <c r="AA113" i="3"/>
  <c r="AB113" i="3"/>
  <c r="AC113" i="3"/>
  <c r="AD113" i="3"/>
  <c r="B114" i="3"/>
  <c r="C114" i="3"/>
  <c r="D114" i="3"/>
  <c r="E114" i="3"/>
  <c r="F114" i="3"/>
  <c r="G114" i="3"/>
  <c r="H114" i="3"/>
  <c r="I114" i="3"/>
  <c r="J114" i="3"/>
  <c r="K114" i="3"/>
  <c r="L114" i="3"/>
  <c r="M114" i="3"/>
  <c r="N114" i="3"/>
  <c r="O114" i="3"/>
  <c r="P114" i="3"/>
  <c r="Q114" i="3"/>
  <c r="R114" i="3"/>
  <c r="S114" i="3"/>
  <c r="T114" i="3"/>
  <c r="U114" i="3"/>
  <c r="V114" i="3"/>
  <c r="W114" i="3"/>
  <c r="X114" i="3"/>
  <c r="Y114" i="3"/>
  <c r="Z114" i="3"/>
  <c r="AA114" i="3"/>
  <c r="AB114" i="3"/>
  <c r="AC114" i="3"/>
  <c r="AD114" i="3"/>
  <c r="B115" i="3"/>
  <c r="C115" i="3"/>
  <c r="D115" i="3"/>
  <c r="E115" i="3"/>
  <c r="F115" i="3"/>
  <c r="G115" i="3"/>
  <c r="H115" i="3"/>
  <c r="I115" i="3"/>
  <c r="J115" i="3"/>
  <c r="K115" i="3"/>
  <c r="L115" i="3"/>
  <c r="M115" i="3"/>
  <c r="N115" i="3"/>
  <c r="O115" i="3"/>
  <c r="P115" i="3"/>
  <c r="Q115" i="3"/>
  <c r="R115" i="3"/>
  <c r="S115" i="3"/>
  <c r="T115" i="3"/>
  <c r="U115" i="3"/>
  <c r="V115" i="3"/>
  <c r="W115" i="3"/>
  <c r="X115" i="3"/>
  <c r="Y115" i="3"/>
  <c r="Z115" i="3"/>
  <c r="AA115" i="3"/>
  <c r="AB115" i="3"/>
  <c r="AC115" i="3"/>
  <c r="AD115" i="3"/>
  <c r="B116" i="3"/>
  <c r="C116" i="3"/>
  <c r="D116" i="3"/>
  <c r="E116" i="3"/>
  <c r="F116" i="3"/>
  <c r="G116" i="3"/>
  <c r="H116" i="3"/>
  <c r="I116" i="3"/>
  <c r="J116" i="3"/>
  <c r="K116" i="3"/>
  <c r="L116" i="3"/>
  <c r="M116" i="3"/>
  <c r="N116" i="3"/>
  <c r="O116" i="3"/>
  <c r="P116" i="3"/>
  <c r="Q116" i="3"/>
  <c r="R116" i="3"/>
  <c r="S116" i="3"/>
  <c r="T116" i="3"/>
  <c r="U116" i="3"/>
  <c r="V116" i="3"/>
  <c r="W116" i="3"/>
  <c r="X116" i="3"/>
  <c r="Y116" i="3"/>
  <c r="Z116" i="3"/>
  <c r="AA116" i="3"/>
  <c r="AB116" i="3"/>
  <c r="AC116" i="3"/>
  <c r="AD116" i="3"/>
  <c r="B117" i="3"/>
  <c r="C117" i="3"/>
  <c r="D117" i="3"/>
  <c r="E117" i="3"/>
  <c r="F117" i="3"/>
  <c r="G117" i="3"/>
  <c r="H117" i="3"/>
  <c r="I117" i="3"/>
  <c r="J117" i="3"/>
  <c r="K117" i="3"/>
  <c r="L117" i="3"/>
  <c r="M117" i="3"/>
  <c r="N117" i="3"/>
  <c r="O117" i="3"/>
  <c r="P117" i="3"/>
  <c r="Q117" i="3"/>
  <c r="R117" i="3"/>
  <c r="S117" i="3"/>
  <c r="T117" i="3"/>
  <c r="U117" i="3"/>
  <c r="V117" i="3"/>
  <c r="W117" i="3"/>
  <c r="X117" i="3"/>
  <c r="Y117" i="3"/>
  <c r="Z117" i="3"/>
  <c r="AA117" i="3"/>
  <c r="AB117" i="3"/>
  <c r="AC117" i="3"/>
  <c r="AD117" i="3"/>
  <c r="B118" i="3"/>
  <c r="C118" i="3"/>
  <c r="D118" i="3"/>
  <c r="E118" i="3"/>
  <c r="F118" i="3"/>
  <c r="G118" i="3"/>
  <c r="H118" i="3"/>
  <c r="I118" i="3"/>
  <c r="J118" i="3"/>
  <c r="K118" i="3"/>
  <c r="L118" i="3"/>
  <c r="M118" i="3"/>
  <c r="N118" i="3"/>
  <c r="O118" i="3"/>
  <c r="P118" i="3"/>
  <c r="Q118" i="3"/>
  <c r="R118" i="3"/>
  <c r="S118" i="3"/>
  <c r="T118" i="3"/>
  <c r="U118" i="3"/>
  <c r="V118" i="3"/>
  <c r="W118" i="3"/>
  <c r="X118" i="3"/>
  <c r="Y118" i="3"/>
  <c r="Z118" i="3"/>
  <c r="AA118" i="3"/>
  <c r="AB118" i="3"/>
  <c r="AC118" i="3"/>
  <c r="AD118" i="3"/>
  <c r="B119" i="3"/>
  <c r="C119" i="3"/>
  <c r="D119" i="3"/>
  <c r="E119" i="3"/>
  <c r="F119" i="3"/>
  <c r="G119" i="3"/>
  <c r="H119" i="3"/>
  <c r="I119" i="3"/>
  <c r="J119" i="3"/>
  <c r="K119" i="3"/>
  <c r="L119" i="3"/>
  <c r="M119" i="3"/>
  <c r="N119" i="3"/>
  <c r="O119" i="3"/>
  <c r="P119" i="3"/>
  <c r="Q119" i="3"/>
  <c r="R119" i="3"/>
  <c r="S119" i="3"/>
  <c r="T119" i="3"/>
  <c r="U119" i="3"/>
  <c r="V119" i="3"/>
  <c r="W119" i="3"/>
  <c r="X119" i="3"/>
  <c r="Y119" i="3"/>
  <c r="Z119" i="3"/>
  <c r="AA119" i="3"/>
  <c r="AB119" i="3"/>
  <c r="AC119" i="3"/>
  <c r="AD119" i="3"/>
  <c r="B120" i="3"/>
  <c r="C120" i="3"/>
  <c r="D120" i="3"/>
  <c r="E120" i="3"/>
  <c r="F120" i="3"/>
  <c r="G120" i="3"/>
  <c r="H120" i="3"/>
  <c r="I120" i="3"/>
  <c r="J120" i="3"/>
  <c r="K120" i="3"/>
  <c r="L120" i="3"/>
  <c r="M120" i="3"/>
  <c r="N120" i="3"/>
  <c r="O120" i="3"/>
  <c r="P120" i="3"/>
  <c r="Q120" i="3"/>
  <c r="R120" i="3"/>
  <c r="S120" i="3"/>
  <c r="T120" i="3"/>
  <c r="U120" i="3"/>
  <c r="V120" i="3"/>
  <c r="W120" i="3"/>
  <c r="X120" i="3"/>
  <c r="Y120" i="3"/>
  <c r="Z120" i="3"/>
  <c r="AA120" i="3"/>
  <c r="AB120" i="3"/>
  <c r="AC120" i="3"/>
  <c r="AD120" i="3"/>
  <c r="B121" i="3"/>
  <c r="C121" i="3"/>
  <c r="D121" i="3"/>
  <c r="E121" i="3"/>
  <c r="F121" i="3"/>
  <c r="G121" i="3"/>
  <c r="H121" i="3"/>
  <c r="I121" i="3"/>
  <c r="J121" i="3"/>
  <c r="K121" i="3"/>
  <c r="L121" i="3"/>
  <c r="M121" i="3"/>
  <c r="N121" i="3"/>
  <c r="O121" i="3"/>
  <c r="P121" i="3"/>
  <c r="Q121" i="3"/>
  <c r="R121" i="3"/>
  <c r="S121" i="3"/>
  <c r="T121" i="3"/>
  <c r="U121" i="3"/>
  <c r="V121" i="3"/>
  <c r="W121" i="3"/>
  <c r="X121" i="3"/>
  <c r="Y121" i="3"/>
  <c r="Z121" i="3"/>
  <c r="AA121" i="3"/>
  <c r="AB121" i="3"/>
  <c r="AC121" i="3"/>
  <c r="AD121" i="3"/>
  <c r="B122" i="3"/>
  <c r="C122" i="3"/>
  <c r="D122" i="3"/>
  <c r="E122" i="3"/>
  <c r="F122" i="3"/>
  <c r="G122" i="3"/>
  <c r="H122" i="3"/>
  <c r="I122" i="3"/>
  <c r="J122" i="3"/>
  <c r="K122" i="3"/>
  <c r="L122" i="3"/>
  <c r="M122" i="3"/>
  <c r="N122" i="3"/>
  <c r="O122" i="3"/>
  <c r="P122" i="3"/>
  <c r="Q122" i="3"/>
  <c r="R122" i="3"/>
  <c r="S122" i="3"/>
  <c r="T122" i="3"/>
  <c r="U122" i="3"/>
  <c r="V122" i="3"/>
  <c r="W122" i="3"/>
  <c r="X122" i="3"/>
  <c r="Y122" i="3"/>
  <c r="Z122" i="3"/>
  <c r="AA122" i="3"/>
  <c r="AB122" i="3"/>
  <c r="AC122" i="3"/>
  <c r="AD122" i="3"/>
  <c r="B123" i="3"/>
  <c r="C123" i="3"/>
  <c r="D123" i="3"/>
  <c r="E123" i="3"/>
  <c r="F123" i="3"/>
  <c r="G123" i="3"/>
  <c r="H123" i="3"/>
  <c r="I123" i="3"/>
  <c r="J123" i="3"/>
  <c r="K123" i="3"/>
  <c r="L123" i="3"/>
  <c r="M123" i="3"/>
  <c r="N123" i="3"/>
  <c r="O123" i="3"/>
  <c r="P123" i="3"/>
  <c r="Q123" i="3"/>
  <c r="R123" i="3"/>
  <c r="S123" i="3"/>
  <c r="T123" i="3"/>
  <c r="U123" i="3"/>
  <c r="V123" i="3"/>
  <c r="W123" i="3"/>
  <c r="X123" i="3"/>
  <c r="Y123" i="3"/>
  <c r="Z123" i="3"/>
  <c r="AA123" i="3"/>
  <c r="AB123" i="3"/>
  <c r="AC123" i="3"/>
  <c r="AD123" i="3"/>
  <c r="B124" i="3"/>
  <c r="C124" i="3"/>
  <c r="D124" i="3"/>
  <c r="E124" i="3"/>
  <c r="F124" i="3"/>
  <c r="G124" i="3"/>
  <c r="H124" i="3"/>
  <c r="I124" i="3"/>
  <c r="J124" i="3"/>
  <c r="K124" i="3"/>
  <c r="L124" i="3"/>
  <c r="M124" i="3"/>
  <c r="N124" i="3"/>
  <c r="O124" i="3"/>
  <c r="P124" i="3"/>
  <c r="Q124" i="3"/>
  <c r="R124" i="3"/>
  <c r="S124" i="3"/>
  <c r="T124" i="3"/>
  <c r="U124" i="3"/>
  <c r="V124" i="3"/>
  <c r="W124" i="3"/>
  <c r="X124" i="3"/>
  <c r="Y124" i="3"/>
  <c r="Z124" i="3"/>
  <c r="AA124" i="3"/>
  <c r="AB124" i="3"/>
  <c r="AC124" i="3"/>
  <c r="AD124" i="3"/>
  <c r="B125" i="3"/>
  <c r="C125" i="3"/>
  <c r="D125" i="3"/>
  <c r="E125" i="3"/>
  <c r="F125" i="3"/>
  <c r="G125" i="3"/>
  <c r="H125" i="3"/>
  <c r="I125" i="3"/>
  <c r="J125" i="3"/>
  <c r="K125" i="3"/>
  <c r="L125" i="3"/>
  <c r="M125" i="3"/>
  <c r="N125" i="3"/>
  <c r="O125" i="3"/>
  <c r="P125" i="3"/>
  <c r="Q125" i="3"/>
  <c r="R125" i="3"/>
  <c r="S125" i="3"/>
  <c r="T125" i="3"/>
  <c r="U125" i="3"/>
  <c r="V125" i="3"/>
  <c r="W125" i="3"/>
  <c r="X125" i="3"/>
  <c r="Y125" i="3"/>
  <c r="Z125" i="3"/>
  <c r="AA125" i="3"/>
  <c r="AB125" i="3"/>
  <c r="AC125" i="3"/>
  <c r="AD125" i="3"/>
  <c r="B126" i="3"/>
  <c r="C126" i="3"/>
  <c r="D126" i="3"/>
  <c r="E126" i="3"/>
  <c r="F126" i="3"/>
  <c r="G126" i="3"/>
  <c r="H126" i="3"/>
  <c r="I126" i="3"/>
  <c r="J126" i="3"/>
  <c r="K126" i="3"/>
  <c r="L126" i="3"/>
  <c r="M126" i="3"/>
  <c r="N126" i="3"/>
  <c r="O126" i="3"/>
  <c r="P126" i="3"/>
  <c r="Q126" i="3"/>
  <c r="R126" i="3"/>
  <c r="S126" i="3"/>
  <c r="T126" i="3"/>
  <c r="U126" i="3"/>
  <c r="V126" i="3"/>
  <c r="W126" i="3"/>
  <c r="X126" i="3"/>
  <c r="Y126" i="3"/>
  <c r="Z126" i="3"/>
  <c r="AA126" i="3"/>
  <c r="AB126" i="3"/>
  <c r="AC126" i="3"/>
  <c r="AD126" i="3"/>
  <c r="B127" i="3"/>
  <c r="C127" i="3"/>
  <c r="D127" i="3"/>
  <c r="E127" i="3"/>
  <c r="F127" i="3"/>
  <c r="G127" i="3"/>
  <c r="H127" i="3"/>
  <c r="I127" i="3"/>
  <c r="J127" i="3"/>
  <c r="K127" i="3"/>
  <c r="L127" i="3"/>
  <c r="M127" i="3"/>
  <c r="N127" i="3"/>
  <c r="O127" i="3"/>
  <c r="P127" i="3"/>
  <c r="Q127" i="3"/>
  <c r="R127" i="3"/>
  <c r="S127" i="3"/>
  <c r="T127" i="3"/>
  <c r="U127" i="3"/>
  <c r="V127" i="3"/>
  <c r="W127" i="3"/>
  <c r="X127" i="3"/>
  <c r="Y127" i="3"/>
  <c r="Z127" i="3"/>
  <c r="AA127" i="3"/>
  <c r="AB127" i="3"/>
  <c r="AC127" i="3"/>
  <c r="AD127" i="3"/>
  <c r="B128" i="3"/>
  <c r="C128" i="3"/>
  <c r="D128" i="3"/>
  <c r="E128" i="3"/>
  <c r="F128" i="3"/>
  <c r="G128" i="3"/>
  <c r="H128" i="3"/>
  <c r="I128" i="3"/>
  <c r="J128" i="3"/>
  <c r="K128" i="3"/>
  <c r="L128" i="3"/>
  <c r="M128" i="3"/>
  <c r="N128" i="3"/>
  <c r="O128" i="3"/>
  <c r="P128" i="3"/>
  <c r="Q128" i="3"/>
  <c r="R128" i="3"/>
  <c r="S128" i="3"/>
  <c r="T128" i="3"/>
  <c r="U128" i="3"/>
  <c r="V128" i="3"/>
  <c r="W128" i="3"/>
  <c r="X128" i="3"/>
  <c r="Y128" i="3"/>
  <c r="Z128" i="3"/>
  <c r="AA128" i="3"/>
  <c r="AB128" i="3"/>
  <c r="AC128" i="3"/>
  <c r="AD128" i="3"/>
  <c r="B129" i="3"/>
  <c r="C129" i="3"/>
  <c r="D129" i="3"/>
  <c r="E129" i="3"/>
  <c r="F129" i="3"/>
  <c r="G129" i="3"/>
  <c r="H129" i="3"/>
  <c r="I129" i="3"/>
  <c r="J129" i="3"/>
  <c r="K129" i="3"/>
  <c r="L129" i="3"/>
  <c r="M129" i="3"/>
  <c r="N129" i="3"/>
  <c r="O129" i="3"/>
  <c r="P129" i="3"/>
  <c r="Q129" i="3"/>
  <c r="R129" i="3"/>
  <c r="S129" i="3"/>
  <c r="T129" i="3"/>
  <c r="U129" i="3"/>
  <c r="V129" i="3"/>
  <c r="W129" i="3"/>
  <c r="X129" i="3"/>
  <c r="Y129" i="3"/>
  <c r="Z129" i="3"/>
  <c r="AA129" i="3"/>
  <c r="AB129" i="3"/>
  <c r="AC129" i="3"/>
  <c r="AD129" i="3"/>
  <c r="B130" i="3"/>
  <c r="C130" i="3"/>
  <c r="D130" i="3"/>
  <c r="E130" i="3"/>
  <c r="F130" i="3"/>
  <c r="G130" i="3"/>
  <c r="H130" i="3"/>
  <c r="I130" i="3"/>
  <c r="J130" i="3"/>
  <c r="K130" i="3"/>
  <c r="L130" i="3"/>
  <c r="M130" i="3"/>
  <c r="N130" i="3"/>
  <c r="O130" i="3"/>
  <c r="P130" i="3"/>
  <c r="Q130" i="3"/>
  <c r="R130" i="3"/>
  <c r="S130" i="3"/>
  <c r="T130" i="3"/>
  <c r="U130" i="3"/>
  <c r="V130" i="3"/>
  <c r="W130" i="3"/>
  <c r="X130" i="3"/>
  <c r="Y130" i="3"/>
  <c r="Z130" i="3"/>
  <c r="AA130" i="3"/>
  <c r="AB130" i="3"/>
  <c r="AC130" i="3"/>
  <c r="AD130" i="3"/>
  <c r="B131" i="3"/>
  <c r="C131" i="3"/>
  <c r="D131" i="3"/>
  <c r="E131" i="3"/>
  <c r="F131" i="3"/>
  <c r="G131" i="3"/>
  <c r="H131" i="3"/>
  <c r="I131" i="3"/>
  <c r="J131" i="3"/>
  <c r="K131" i="3"/>
  <c r="L131" i="3"/>
  <c r="M131" i="3"/>
  <c r="N131" i="3"/>
  <c r="O131" i="3"/>
  <c r="P131" i="3"/>
  <c r="Q131" i="3"/>
  <c r="R131" i="3"/>
  <c r="S131" i="3"/>
  <c r="T131" i="3"/>
  <c r="U131" i="3"/>
  <c r="V131" i="3"/>
  <c r="W131" i="3"/>
  <c r="X131" i="3"/>
  <c r="Y131" i="3"/>
  <c r="Z131" i="3"/>
  <c r="AA131" i="3"/>
  <c r="AB131" i="3"/>
  <c r="AC131" i="3"/>
  <c r="AD131" i="3"/>
  <c r="B132" i="3"/>
  <c r="C132" i="3"/>
  <c r="D132" i="3"/>
  <c r="E132" i="3"/>
  <c r="F132" i="3"/>
  <c r="G132" i="3"/>
  <c r="H132" i="3"/>
  <c r="I132" i="3"/>
  <c r="J132" i="3"/>
  <c r="K132" i="3"/>
  <c r="L132" i="3"/>
  <c r="M132" i="3"/>
  <c r="N132" i="3"/>
  <c r="O132" i="3"/>
  <c r="P132" i="3"/>
  <c r="Q132" i="3"/>
  <c r="R132" i="3"/>
  <c r="S132" i="3"/>
  <c r="T132" i="3"/>
  <c r="U132" i="3"/>
  <c r="V132" i="3"/>
  <c r="W132" i="3"/>
  <c r="X132" i="3"/>
  <c r="Y132" i="3"/>
  <c r="Z132" i="3"/>
  <c r="AA132" i="3"/>
  <c r="AB132" i="3"/>
  <c r="AC132" i="3"/>
  <c r="AD132" i="3"/>
  <c r="B133" i="3"/>
  <c r="C133" i="3"/>
  <c r="D133" i="3"/>
  <c r="E133" i="3"/>
  <c r="F133" i="3"/>
  <c r="G133" i="3"/>
  <c r="H133" i="3"/>
  <c r="I133" i="3"/>
  <c r="J133" i="3"/>
  <c r="K133" i="3"/>
  <c r="L133" i="3"/>
  <c r="M133" i="3"/>
  <c r="N133" i="3"/>
  <c r="O133" i="3"/>
  <c r="P133" i="3"/>
  <c r="Q133" i="3"/>
  <c r="R133" i="3"/>
  <c r="S133" i="3"/>
  <c r="T133" i="3"/>
  <c r="U133" i="3"/>
  <c r="V133" i="3"/>
  <c r="W133" i="3"/>
  <c r="X133" i="3"/>
  <c r="Y133" i="3"/>
  <c r="Z133" i="3"/>
  <c r="AA133" i="3"/>
  <c r="AB133" i="3"/>
  <c r="AC133" i="3"/>
  <c r="AD133" i="3"/>
  <c r="B134" i="3"/>
  <c r="C134" i="3"/>
  <c r="D134" i="3"/>
  <c r="E134" i="3"/>
  <c r="F134" i="3"/>
  <c r="G134" i="3"/>
  <c r="H134" i="3"/>
  <c r="I134" i="3"/>
  <c r="J134" i="3"/>
  <c r="K134" i="3"/>
  <c r="L134" i="3"/>
  <c r="M134" i="3"/>
  <c r="N134" i="3"/>
  <c r="O134" i="3"/>
  <c r="P134" i="3"/>
  <c r="Q134" i="3"/>
  <c r="R134" i="3"/>
  <c r="S134" i="3"/>
  <c r="T134" i="3"/>
  <c r="U134" i="3"/>
  <c r="V134" i="3"/>
  <c r="W134" i="3"/>
  <c r="X134" i="3"/>
  <c r="Y134" i="3"/>
  <c r="Z134" i="3"/>
  <c r="AA134" i="3"/>
  <c r="AB134" i="3"/>
  <c r="AC134" i="3"/>
  <c r="AD134" i="3"/>
  <c r="B135" i="3"/>
  <c r="C135" i="3"/>
  <c r="D135" i="3"/>
  <c r="E135" i="3"/>
  <c r="F135" i="3"/>
  <c r="G135" i="3"/>
  <c r="H135" i="3"/>
  <c r="I135" i="3"/>
  <c r="J135" i="3"/>
  <c r="K135" i="3"/>
  <c r="L135" i="3"/>
  <c r="M135" i="3"/>
  <c r="N135" i="3"/>
  <c r="O135" i="3"/>
  <c r="P135" i="3"/>
  <c r="Q135" i="3"/>
  <c r="R135" i="3"/>
  <c r="S135" i="3"/>
  <c r="T135" i="3"/>
  <c r="U135" i="3"/>
  <c r="V135" i="3"/>
  <c r="W135" i="3"/>
  <c r="X135" i="3"/>
  <c r="Y135" i="3"/>
  <c r="Z135" i="3"/>
  <c r="AA135" i="3"/>
  <c r="AB135" i="3"/>
  <c r="AC135" i="3"/>
  <c r="AD135" i="3"/>
  <c r="B136" i="3"/>
  <c r="C136" i="3"/>
  <c r="D136" i="3"/>
  <c r="E136" i="3"/>
  <c r="F136" i="3"/>
  <c r="G136" i="3"/>
  <c r="H136" i="3"/>
  <c r="I136" i="3"/>
  <c r="J136" i="3"/>
  <c r="K136" i="3"/>
  <c r="L136" i="3"/>
  <c r="M136" i="3"/>
  <c r="N136" i="3"/>
  <c r="O136" i="3"/>
  <c r="P136" i="3"/>
  <c r="Q136" i="3"/>
  <c r="R136" i="3"/>
  <c r="S136" i="3"/>
  <c r="T136" i="3"/>
  <c r="U136" i="3"/>
  <c r="V136" i="3"/>
  <c r="W136" i="3"/>
  <c r="X136" i="3"/>
  <c r="Y136" i="3"/>
  <c r="Z136" i="3"/>
  <c r="AA136" i="3"/>
  <c r="AB136" i="3"/>
  <c r="AC136" i="3"/>
  <c r="AD136" i="3"/>
  <c r="B137" i="3"/>
  <c r="C137" i="3"/>
  <c r="D137" i="3"/>
  <c r="E137" i="3"/>
  <c r="F137" i="3"/>
  <c r="G137" i="3"/>
  <c r="H137" i="3"/>
  <c r="I137" i="3"/>
  <c r="J137" i="3"/>
  <c r="K137" i="3"/>
  <c r="L137" i="3"/>
  <c r="M137" i="3"/>
  <c r="N137" i="3"/>
  <c r="O137" i="3"/>
  <c r="P137" i="3"/>
  <c r="Q137" i="3"/>
  <c r="R137" i="3"/>
  <c r="S137" i="3"/>
  <c r="T137" i="3"/>
  <c r="U137" i="3"/>
  <c r="V137" i="3"/>
  <c r="W137" i="3"/>
  <c r="X137" i="3"/>
  <c r="Y137" i="3"/>
  <c r="Z137" i="3"/>
  <c r="AA137" i="3"/>
  <c r="AB137" i="3"/>
  <c r="AC137" i="3"/>
  <c r="AD137" i="3"/>
  <c r="B138" i="3"/>
  <c r="C138" i="3"/>
  <c r="D138" i="3"/>
  <c r="E138" i="3"/>
  <c r="F138" i="3"/>
  <c r="G138" i="3"/>
  <c r="H138" i="3"/>
  <c r="I138" i="3"/>
  <c r="J138" i="3"/>
  <c r="K138" i="3"/>
  <c r="L138" i="3"/>
  <c r="M138" i="3"/>
  <c r="N138" i="3"/>
  <c r="O138" i="3"/>
  <c r="P138" i="3"/>
  <c r="Q138" i="3"/>
  <c r="R138" i="3"/>
  <c r="S138" i="3"/>
  <c r="T138" i="3"/>
  <c r="U138" i="3"/>
  <c r="V138" i="3"/>
  <c r="W138" i="3"/>
  <c r="X138" i="3"/>
  <c r="Y138" i="3"/>
  <c r="Z138" i="3"/>
  <c r="AA138" i="3"/>
  <c r="AB138" i="3"/>
  <c r="AC138" i="3"/>
  <c r="AD138" i="3"/>
  <c r="B139" i="3"/>
  <c r="C139" i="3"/>
  <c r="D139" i="3"/>
  <c r="E139" i="3"/>
  <c r="F139" i="3"/>
  <c r="G139" i="3"/>
  <c r="H139" i="3"/>
  <c r="I139" i="3"/>
  <c r="J139" i="3"/>
  <c r="K139" i="3"/>
  <c r="L139" i="3"/>
  <c r="M139" i="3"/>
  <c r="N139" i="3"/>
  <c r="O139" i="3"/>
  <c r="P139" i="3"/>
  <c r="Q139" i="3"/>
  <c r="R139" i="3"/>
  <c r="S139" i="3"/>
  <c r="T139" i="3"/>
  <c r="U139" i="3"/>
  <c r="V139" i="3"/>
  <c r="W139" i="3"/>
  <c r="X139" i="3"/>
  <c r="Y139" i="3"/>
  <c r="Z139" i="3"/>
  <c r="AA139" i="3"/>
  <c r="AB139" i="3"/>
  <c r="AC139" i="3"/>
  <c r="AD139" i="3"/>
  <c r="B140" i="3"/>
  <c r="C140" i="3"/>
  <c r="D140" i="3"/>
  <c r="E140" i="3"/>
  <c r="F140" i="3"/>
  <c r="G140" i="3"/>
  <c r="H140" i="3"/>
  <c r="I140" i="3"/>
  <c r="J140" i="3"/>
  <c r="K140" i="3"/>
  <c r="L140" i="3"/>
  <c r="M140" i="3"/>
  <c r="N140" i="3"/>
  <c r="O140" i="3"/>
  <c r="P140" i="3"/>
  <c r="Q140" i="3"/>
  <c r="R140" i="3"/>
  <c r="S140" i="3"/>
  <c r="T140" i="3"/>
  <c r="U140" i="3"/>
  <c r="V140" i="3"/>
  <c r="W140" i="3"/>
  <c r="X140" i="3"/>
  <c r="Y140" i="3"/>
  <c r="Z140" i="3"/>
  <c r="AA140" i="3"/>
  <c r="AB140" i="3"/>
  <c r="AC140" i="3"/>
  <c r="AD140" i="3"/>
  <c r="B141" i="3"/>
  <c r="C141" i="3"/>
  <c r="D141" i="3"/>
  <c r="E141" i="3"/>
  <c r="F141" i="3"/>
  <c r="G141" i="3"/>
  <c r="H141" i="3"/>
  <c r="I141" i="3"/>
  <c r="J141" i="3"/>
  <c r="K141" i="3"/>
  <c r="L141" i="3"/>
  <c r="M141" i="3"/>
  <c r="N141" i="3"/>
  <c r="O141" i="3"/>
  <c r="P141" i="3"/>
  <c r="Q141" i="3"/>
  <c r="R141" i="3"/>
  <c r="S141" i="3"/>
  <c r="T141" i="3"/>
  <c r="U141" i="3"/>
  <c r="V141" i="3"/>
  <c r="W141" i="3"/>
  <c r="X141" i="3"/>
  <c r="Y141" i="3"/>
  <c r="Z141" i="3"/>
  <c r="AA141" i="3"/>
  <c r="AB141" i="3"/>
  <c r="AC141" i="3"/>
  <c r="AD141" i="3"/>
  <c r="B142" i="3"/>
  <c r="C142" i="3"/>
  <c r="D142" i="3"/>
  <c r="E142" i="3"/>
  <c r="F142" i="3"/>
  <c r="G142" i="3"/>
  <c r="H142" i="3"/>
  <c r="I142" i="3"/>
  <c r="J142" i="3"/>
  <c r="K142" i="3"/>
  <c r="L142" i="3"/>
  <c r="M142" i="3"/>
  <c r="N142" i="3"/>
  <c r="O142" i="3"/>
  <c r="P142" i="3"/>
  <c r="Q142" i="3"/>
  <c r="R142" i="3"/>
  <c r="S142" i="3"/>
  <c r="T142" i="3"/>
  <c r="U142" i="3"/>
  <c r="V142" i="3"/>
  <c r="W142" i="3"/>
  <c r="X142" i="3"/>
  <c r="Y142" i="3"/>
  <c r="Z142" i="3"/>
  <c r="AA142" i="3"/>
  <c r="AB142" i="3"/>
  <c r="AC142" i="3"/>
  <c r="AD142" i="3"/>
  <c r="B143" i="3"/>
  <c r="C143" i="3"/>
  <c r="D143" i="3"/>
  <c r="E143" i="3"/>
  <c r="F143" i="3"/>
  <c r="G143" i="3"/>
  <c r="H143" i="3"/>
  <c r="I143" i="3"/>
  <c r="J143" i="3"/>
  <c r="K143" i="3"/>
  <c r="L143" i="3"/>
  <c r="M143" i="3"/>
  <c r="N143" i="3"/>
  <c r="O143" i="3"/>
  <c r="P143" i="3"/>
  <c r="Q143" i="3"/>
  <c r="R143" i="3"/>
  <c r="S143" i="3"/>
  <c r="T143" i="3"/>
  <c r="U143" i="3"/>
  <c r="V143" i="3"/>
  <c r="W143" i="3"/>
  <c r="X143" i="3"/>
  <c r="Y143" i="3"/>
  <c r="Z143" i="3"/>
  <c r="AA143" i="3"/>
  <c r="AB143" i="3"/>
  <c r="AC143" i="3"/>
  <c r="AD143" i="3"/>
  <c r="B144" i="3"/>
  <c r="C144" i="3"/>
  <c r="D144" i="3"/>
  <c r="E144" i="3"/>
  <c r="F144" i="3"/>
  <c r="G144" i="3"/>
  <c r="H144" i="3"/>
  <c r="I144" i="3"/>
  <c r="J144" i="3"/>
  <c r="K144" i="3"/>
  <c r="L144" i="3"/>
  <c r="M144" i="3"/>
  <c r="N144" i="3"/>
  <c r="O144" i="3"/>
  <c r="P144" i="3"/>
  <c r="Q144" i="3"/>
  <c r="R144" i="3"/>
  <c r="S144" i="3"/>
  <c r="T144" i="3"/>
  <c r="U144" i="3"/>
  <c r="V144" i="3"/>
  <c r="W144" i="3"/>
  <c r="X144" i="3"/>
  <c r="Y144" i="3"/>
  <c r="Z144" i="3"/>
  <c r="AA144" i="3"/>
  <c r="AB144" i="3"/>
  <c r="AC144" i="3"/>
  <c r="AD144" i="3"/>
  <c r="B145" i="3"/>
  <c r="C145" i="3"/>
  <c r="D145" i="3"/>
  <c r="E145" i="3"/>
  <c r="F145" i="3"/>
  <c r="G145" i="3"/>
  <c r="H145" i="3"/>
  <c r="I145" i="3"/>
  <c r="J145" i="3"/>
  <c r="K145" i="3"/>
  <c r="L145" i="3"/>
  <c r="M145" i="3"/>
  <c r="N145" i="3"/>
  <c r="O145" i="3"/>
  <c r="P145" i="3"/>
  <c r="Q145" i="3"/>
  <c r="R145" i="3"/>
  <c r="S145" i="3"/>
  <c r="T145" i="3"/>
  <c r="U145" i="3"/>
  <c r="V145" i="3"/>
  <c r="W145" i="3"/>
  <c r="X145" i="3"/>
  <c r="Y145" i="3"/>
  <c r="Z145" i="3"/>
  <c r="AA145" i="3"/>
  <c r="AB145" i="3"/>
  <c r="AC145" i="3"/>
  <c r="AD145" i="3"/>
  <c r="B146" i="3"/>
  <c r="C146" i="3"/>
  <c r="D146" i="3"/>
  <c r="E146" i="3"/>
  <c r="F146" i="3"/>
  <c r="G146" i="3"/>
  <c r="H146" i="3"/>
  <c r="I146" i="3"/>
  <c r="J146" i="3"/>
  <c r="K146" i="3"/>
  <c r="L146" i="3"/>
  <c r="M146" i="3"/>
  <c r="N146" i="3"/>
  <c r="O146" i="3"/>
  <c r="P146" i="3"/>
  <c r="Q146" i="3"/>
  <c r="R146" i="3"/>
  <c r="S146" i="3"/>
  <c r="T146" i="3"/>
  <c r="U146" i="3"/>
  <c r="V146" i="3"/>
  <c r="W146" i="3"/>
  <c r="X146" i="3"/>
  <c r="Y146" i="3"/>
  <c r="Z146" i="3"/>
  <c r="AA146" i="3"/>
  <c r="AB146" i="3"/>
  <c r="AC146" i="3"/>
  <c r="AD146" i="3"/>
  <c r="B147" i="3"/>
  <c r="C147" i="3"/>
  <c r="D147" i="3"/>
  <c r="E147" i="3"/>
  <c r="F147" i="3"/>
  <c r="G147" i="3"/>
  <c r="H147" i="3"/>
  <c r="I147" i="3"/>
  <c r="J147" i="3"/>
  <c r="K147" i="3"/>
  <c r="L147" i="3"/>
  <c r="M147" i="3"/>
  <c r="N147" i="3"/>
  <c r="O147" i="3"/>
  <c r="P147" i="3"/>
  <c r="Q147" i="3"/>
  <c r="R147" i="3"/>
  <c r="S147" i="3"/>
  <c r="T147" i="3"/>
  <c r="U147" i="3"/>
  <c r="V147" i="3"/>
  <c r="W147" i="3"/>
  <c r="X147" i="3"/>
  <c r="Y147" i="3"/>
  <c r="Z147" i="3"/>
  <c r="AA147" i="3"/>
  <c r="AB147" i="3"/>
  <c r="AC147" i="3"/>
  <c r="AD147" i="3"/>
  <c r="B148" i="3"/>
  <c r="C148" i="3"/>
  <c r="D148" i="3"/>
  <c r="E148" i="3"/>
  <c r="F148" i="3"/>
  <c r="G148" i="3"/>
  <c r="H148" i="3"/>
  <c r="I148" i="3"/>
  <c r="J148" i="3"/>
  <c r="K148" i="3"/>
  <c r="L148" i="3"/>
  <c r="M148" i="3"/>
  <c r="N148" i="3"/>
  <c r="O148" i="3"/>
  <c r="P148" i="3"/>
  <c r="Q148" i="3"/>
  <c r="R148" i="3"/>
  <c r="S148" i="3"/>
  <c r="T148" i="3"/>
  <c r="U148" i="3"/>
  <c r="V148" i="3"/>
  <c r="W148" i="3"/>
  <c r="X148" i="3"/>
  <c r="Y148" i="3"/>
  <c r="Z148" i="3"/>
  <c r="AA148" i="3"/>
  <c r="AB148" i="3"/>
  <c r="AC148" i="3"/>
  <c r="AD148" i="3"/>
  <c r="B149" i="3"/>
  <c r="C149" i="3"/>
  <c r="D149" i="3"/>
  <c r="E149" i="3"/>
  <c r="F149" i="3"/>
  <c r="G149" i="3"/>
  <c r="H149" i="3"/>
  <c r="I149" i="3"/>
  <c r="J149" i="3"/>
  <c r="K149" i="3"/>
  <c r="L149" i="3"/>
  <c r="M149" i="3"/>
  <c r="N149" i="3"/>
  <c r="O149" i="3"/>
  <c r="P149" i="3"/>
  <c r="Q149" i="3"/>
  <c r="R149" i="3"/>
  <c r="S149" i="3"/>
  <c r="T149" i="3"/>
  <c r="U149" i="3"/>
  <c r="V149" i="3"/>
  <c r="W149" i="3"/>
  <c r="X149" i="3"/>
  <c r="Y149" i="3"/>
  <c r="Z149" i="3"/>
  <c r="AA149" i="3"/>
  <c r="AB149" i="3"/>
  <c r="AC149" i="3"/>
  <c r="AD149" i="3"/>
  <c r="B150" i="3"/>
  <c r="C150" i="3"/>
  <c r="D150" i="3"/>
  <c r="E150" i="3"/>
  <c r="F150" i="3"/>
  <c r="G150" i="3"/>
  <c r="H150" i="3"/>
  <c r="I150" i="3"/>
  <c r="J150" i="3"/>
  <c r="K150" i="3"/>
  <c r="L150" i="3"/>
  <c r="M150" i="3"/>
  <c r="N150" i="3"/>
  <c r="O150" i="3"/>
  <c r="P150" i="3"/>
  <c r="Q150" i="3"/>
  <c r="R150" i="3"/>
  <c r="S150" i="3"/>
  <c r="T150" i="3"/>
  <c r="U150" i="3"/>
  <c r="V150" i="3"/>
  <c r="W150" i="3"/>
  <c r="X150" i="3"/>
  <c r="Y150" i="3"/>
  <c r="Z150" i="3"/>
  <c r="AA150" i="3"/>
  <c r="AB150" i="3"/>
  <c r="AC150" i="3"/>
  <c r="AD150" i="3"/>
  <c r="B151" i="3"/>
  <c r="C151" i="3"/>
  <c r="D151" i="3"/>
  <c r="E151" i="3"/>
  <c r="F151" i="3"/>
  <c r="G151" i="3"/>
  <c r="H151" i="3"/>
  <c r="I151" i="3"/>
  <c r="J151" i="3"/>
  <c r="K151" i="3"/>
  <c r="L151" i="3"/>
  <c r="M151" i="3"/>
  <c r="N151" i="3"/>
  <c r="O151" i="3"/>
  <c r="P151" i="3"/>
  <c r="Q151" i="3"/>
  <c r="R151" i="3"/>
  <c r="S151" i="3"/>
  <c r="T151" i="3"/>
  <c r="U151" i="3"/>
  <c r="V151" i="3"/>
  <c r="W151" i="3"/>
  <c r="X151" i="3"/>
  <c r="Y151" i="3"/>
  <c r="Z151" i="3"/>
  <c r="AA151" i="3"/>
  <c r="AB151" i="3"/>
  <c r="AC151" i="3"/>
  <c r="AD151" i="3"/>
  <c r="B152" i="3"/>
  <c r="C152" i="3"/>
  <c r="D152" i="3"/>
  <c r="E152" i="3"/>
  <c r="F152" i="3"/>
  <c r="G152" i="3"/>
  <c r="H152" i="3"/>
  <c r="I152" i="3"/>
  <c r="J152" i="3"/>
  <c r="K152" i="3"/>
  <c r="L152" i="3"/>
  <c r="M152" i="3"/>
  <c r="N152" i="3"/>
  <c r="O152" i="3"/>
  <c r="P152" i="3"/>
  <c r="Q152" i="3"/>
  <c r="R152" i="3"/>
  <c r="S152" i="3"/>
  <c r="T152" i="3"/>
  <c r="U152" i="3"/>
  <c r="V152" i="3"/>
  <c r="W152" i="3"/>
  <c r="X152" i="3"/>
  <c r="Y152" i="3"/>
  <c r="Z152" i="3"/>
  <c r="AA152" i="3"/>
  <c r="AB152" i="3"/>
  <c r="AC152" i="3"/>
  <c r="AD152" i="3"/>
  <c r="B153" i="3"/>
  <c r="C153" i="3"/>
  <c r="D153" i="3"/>
  <c r="E153" i="3"/>
  <c r="F153" i="3"/>
  <c r="G153" i="3"/>
  <c r="H153" i="3"/>
  <c r="I153" i="3"/>
  <c r="J153" i="3"/>
  <c r="K153" i="3"/>
  <c r="L153" i="3"/>
  <c r="M153" i="3"/>
  <c r="N153" i="3"/>
  <c r="O153" i="3"/>
  <c r="P153" i="3"/>
  <c r="Q153" i="3"/>
  <c r="R153" i="3"/>
  <c r="S153" i="3"/>
  <c r="T153" i="3"/>
  <c r="U153" i="3"/>
  <c r="V153" i="3"/>
  <c r="W153" i="3"/>
  <c r="X153" i="3"/>
  <c r="Y153" i="3"/>
  <c r="Z153" i="3"/>
  <c r="AA153" i="3"/>
  <c r="AB153" i="3"/>
  <c r="AC153" i="3"/>
  <c r="AD153" i="3"/>
  <c r="B154" i="3"/>
  <c r="C154" i="3"/>
  <c r="D154" i="3"/>
  <c r="E154" i="3"/>
  <c r="F154" i="3"/>
  <c r="G154" i="3"/>
  <c r="H154" i="3"/>
  <c r="I154" i="3"/>
  <c r="J154" i="3"/>
  <c r="K154" i="3"/>
  <c r="L154" i="3"/>
  <c r="M154" i="3"/>
  <c r="N154" i="3"/>
  <c r="O154" i="3"/>
  <c r="P154" i="3"/>
  <c r="Q154" i="3"/>
  <c r="R154" i="3"/>
  <c r="S154" i="3"/>
  <c r="T154" i="3"/>
  <c r="U154" i="3"/>
  <c r="V154" i="3"/>
  <c r="W154" i="3"/>
  <c r="X154" i="3"/>
  <c r="Y154" i="3"/>
  <c r="Z154" i="3"/>
  <c r="AA154" i="3"/>
  <c r="AB154" i="3"/>
  <c r="AC154" i="3"/>
  <c r="AD154" i="3"/>
  <c r="B155" i="3"/>
  <c r="C155" i="3"/>
  <c r="D155" i="3"/>
  <c r="E155" i="3"/>
  <c r="F155" i="3"/>
  <c r="G155" i="3"/>
  <c r="H155" i="3"/>
  <c r="I155" i="3"/>
  <c r="J155" i="3"/>
  <c r="K155" i="3"/>
  <c r="L155" i="3"/>
  <c r="M155" i="3"/>
  <c r="N155" i="3"/>
  <c r="O155" i="3"/>
  <c r="P155" i="3"/>
  <c r="Q155" i="3"/>
  <c r="R155" i="3"/>
  <c r="S155" i="3"/>
  <c r="T155" i="3"/>
  <c r="U155" i="3"/>
  <c r="V155" i="3"/>
  <c r="W155" i="3"/>
  <c r="X155" i="3"/>
  <c r="Y155" i="3"/>
  <c r="Z155" i="3"/>
  <c r="AA155" i="3"/>
  <c r="AB155" i="3"/>
  <c r="AC155" i="3"/>
  <c r="AD155" i="3"/>
  <c r="B156" i="3"/>
  <c r="C156" i="3"/>
  <c r="D156" i="3"/>
  <c r="E156" i="3"/>
  <c r="F156" i="3"/>
  <c r="G156" i="3"/>
  <c r="H156" i="3"/>
  <c r="I156" i="3"/>
  <c r="J156" i="3"/>
  <c r="K156" i="3"/>
  <c r="L156" i="3"/>
  <c r="M156" i="3"/>
  <c r="N156" i="3"/>
  <c r="O156" i="3"/>
  <c r="P156" i="3"/>
  <c r="Q156" i="3"/>
  <c r="R156" i="3"/>
  <c r="S156" i="3"/>
  <c r="T156" i="3"/>
  <c r="U156" i="3"/>
  <c r="V156" i="3"/>
  <c r="W156" i="3"/>
  <c r="X156" i="3"/>
  <c r="Y156" i="3"/>
  <c r="Z156" i="3"/>
  <c r="AA156" i="3"/>
  <c r="AB156" i="3"/>
  <c r="AC156" i="3"/>
  <c r="AD156" i="3"/>
  <c r="B157" i="3"/>
  <c r="C157"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B158" i="3"/>
  <c r="C158" i="3"/>
  <c r="D158" i="3"/>
  <c r="E158" i="3"/>
  <c r="F158" i="3"/>
  <c r="G158" i="3"/>
  <c r="H158" i="3"/>
  <c r="I158" i="3"/>
  <c r="J158" i="3"/>
  <c r="K158" i="3"/>
  <c r="L158" i="3"/>
  <c r="M158" i="3"/>
  <c r="N158" i="3"/>
  <c r="O158" i="3"/>
  <c r="P158" i="3"/>
  <c r="Q158" i="3"/>
  <c r="R158" i="3"/>
  <c r="S158" i="3"/>
  <c r="T158" i="3"/>
  <c r="U158" i="3"/>
  <c r="V158" i="3"/>
  <c r="W158" i="3"/>
  <c r="X158" i="3"/>
  <c r="Y158" i="3"/>
  <c r="Z158" i="3"/>
  <c r="AA158" i="3"/>
  <c r="AB158" i="3"/>
  <c r="AC158" i="3"/>
  <c r="AD158" i="3"/>
  <c r="B159" i="3"/>
  <c r="C159" i="3"/>
  <c r="D159" i="3"/>
  <c r="E159" i="3"/>
  <c r="F159" i="3"/>
  <c r="G159" i="3"/>
  <c r="H159" i="3"/>
  <c r="I159" i="3"/>
  <c r="J159" i="3"/>
  <c r="K159" i="3"/>
  <c r="L159" i="3"/>
  <c r="M159" i="3"/>
  <c r="N159" i="3"/>
  <c r="O159" i="3"/>
  <c r="P159" i="3"/>
  <c r="Q159" i="3"/>
  <c r="R159" i="3"/>
  <c r="S159" i="3"/>
  <c r="T159" i="3"/>
  <c r="U159" i="3"/>
  <c r="V159" i="3"/>
  <c r="W159" i="3"/>
  <c r="X159" i="3"/>
  <c r="Y159" i="3"/>
  <c r="Z159" i="3"/>
  <c r="AA159" i="3"/>
  <c r="AB159" i="3"/>
  <c r="AC159" i="3"/>
  <c r="AD159" i="3"/>
  <c r="B160" i="3"/>
  <c r="C160"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B161" i="3"/>
  <c r="C161" i="3"/>
  <c r="D161" i="3"/>
  <c r="E161" i="3"/>
  <c r="F161" i="3"/>
  <c r="G161" i="3"/>
  <c r="H161" i="3"/>
  <c r="I161" i="3"/>
  <c r="J161" i="3"/>
  <c r="K161" i="3"/>
  <c r="L161" i="3"/>
  <c r="M161" i="3"/>
  <c r="N161" i="3"/>
  <c r="O161" i="3"/>
  <c r="P161" i="3"/>
  <c r="Q161" i="3"/>
  <c r="R161" i="3"/>
  <c r="S161" i="3"/>
  <c r="T161" i="3"/>
  <c r="U161" i="3"/>
  <c r="V161" i="3"/>
  <c r="W161" i="3"/>
  <c r="X161" i="3"/>
  <c r="Y161" i="3"/>
  <c r="Z161" i="3"/>
  <c r="AA161" i="3"/>
  <c r="AB161" i="3"/>
  <c r="AC161" i="3"/>
  <c r="AD161" i="3"/>
  <c r="B162" i="3"/>
  <c r="C162" i="3"/>
  <c r="D162" i="3"/>
  <c r="E162" i="3"/>
  <c r="F162" i="3"/>
  <c r="G162" i="3"/>
  <c r="H162" i="3"/>
  <c r="I162" i="3"/>
  <c r="J162" i="3"/>
  <c r="K162" i="3"/>
  <c r="L162" i="3"/>
  <c r="M162" i="3"/>
  <c r="N162" i="3"/>
  <c r="O162" i="3"/>
  <c r="P162" i="3"/>
  <c r="Q162" i="3"/>
  <c r="R162" i="3"/>
  <c r="S162" i="3"/>
  <c r="T162" i="3"/>
  <c r="U162" i="3"/>
  <c r="V162" i="3"/>
  <c r="W162" i="3"/>
  <c r="X162" i="3"/>
  <c r="Y162" i="3"/>
  <c r="Z162" i="3"/>
  <c r="AA162" i="3"/>
  <c r="AB162" i="3"/>
  <c r="AC162" i="3"/>
  <c r="AD162" i="3"/>
  <c r="B163" i="3"/>
  <c r="C163" i="3"/>
  <c r="D163" i="3"/>
  <c r="E163" i="3"/>
  <c r="F163" i="3"/>
  <c r="G163" i="3"/>
  <c r="H163" i="3"/>
  <c r="I163" i="3"/>
  <c r="J163" i="3"/>
  <c r="K163" i="3"/>
  <c r="L163" i="3"/>
  <c r="M163" i="3"/>
  <c r="N163" i="3"/>
  <c r="O163" i="3"/>
  <c r="P163" i="3"/>
  <c r="Q163" i="3"/>
  <c r="R163" i="3"/>
  <c r="S163" i="3"/>
  <c r="T163" i="3"/>
  <c r="U163" i="3"/>
  <c r="V163" i="3"/>
  <c r="W163" i="3"/>
  <c r="X163" i="3"/>
  <c r="Y163" i="3"/>
  <c r="Z163" i="3"/>
  <c r="AA163" i="3"/>
  <c r="AB163" i="3"/>
  <c r="AC163" i="3"/>
  <c r="AD163" i="3"/>
  <c r="B164" i="3"/>
  <c r="C164" i="3"/>
  <c r="D164" i="3"/>
  <c r="E164" i="3"/>
  <c r="F164" i="3"/>
  <c r="G164" i="3"/>
  <c r="H164" i="3"/>
  <c r="I164" i="3"/>
  <c r="J164" i="3"/>
  <c r="K164" i="3"/>
  <c r="L164" i="3"/>
  <c r="M164" i="3"/>
  <c r="N164" i="3"/>
  <c r="O164" i="3"/>
  <c r="P164" i="3"/>
  <c r="Q164" i="3"/>
  <c r="R164" i="3"/>
  <c r="S164" i="3"/>
  <c r="T164" i="3"/>
  <c r="U164" i="3"/>
  <c r="V164" i="3"/>
  <c r="W164" i="3"/>
  <c r="X164" i="3"/>
  <c r="Y164" i="3"/>
  <c r="Z164" i="3"/>
  <c r="AA164" i="3"/>
  <c r="AB164" i="3"/>
  <c r="AC164" i="3"/>
  <c r="AD164" i="3"/>
  <c r="B165" i="3"/>
  <c r="C165"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X11" i="3"/>
  <c r="Q11" i="3"/>
  <c r="M11" i="3"/>
  <c r="G11" i="3"/>
  <c r="Z11" i="3"/>
  <c r="AA11" i="3"/>
  <c r="AB11" i="3"/>
  <c r="AC11" i="3"/>
  <c r="AD11" i="3"/>
  <c r="Y11" i="3"/>
  <c r="S11" i="3"/>
  <c r="T11" i="3"/>
  <c r="U11" i="3"/>
  <c r="V11" i="3"/>
  <c r="W11" i="3"/>
  <c r="R11" i="3"/>
  <c r="O11" i="3"/>
  <c r="P11" i="3"/>
  <c r="N11" i="3"/>
  <c r="I11" i="3"/>
  <c r="J11" i="3"/>
  <c r="K11" i="3"/>
  <c r="L11" i="3"/>
  <c r="H11" i="3"/>
  <c r="C11" i="3"/>
  <c r="D11" i="3"/>
  <c r="E11" i="3"/>
  <c r="F11" i="3"/>
  <c r="B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Emma</author>
  </authors>
  <commentList>
    <comment ref="B3" authorId="0" shapeId="0" xr:uid="{00000000-0006-0000-0100-000001000000}">
      <text>
        <r>
          <rPr>
            <sz val="9"/>
            <color indexed="81"/>
            <rFont val="Tahoma"/>
            <family val="2"/>
          </rPr>
          <t xml:space="preserve">A, B &amp; C parameters for Antoine's equation. Applicable within the indicated min and max temperatures. Temperatures in Kelvin to be used with log10 Antoine's equation. Gives resulting pressure in Pa.
</t>
        </r>
      </text>
    </comment>
    <comment ref="O3" authorId="0" shapeId="0" xr:uid="{00000000-0006-0000-0100-000002000000}">
      <text>
        <r>
          <rPr>
            <sz val="9"/>
            <color indexed="81"/>
            <rFont val="Tahoma"/>
            <family val="2"/>
          </rPr>
          <t xml:space="preserve">Constants (A, B, C &amp; D) for calculating gas heat capacity (for Ideal Gases). Applicable within the indicated min and max temperatures.
</t>
        </r>
      </text>
    </comment>
    <comment ref="U3" authorId="0" shapeId="0" xr:uid="{00000000-0006-0000-0100-000003000000}">
      <text>
        <r>
          <rPr>
            <sz val="9"/>
            <color indexed="81"/>
            <rFont val="Tahoma"/>
            <family val="2"/>
          </rPr>
          <t xml:space="preserve">Constants (A, B, C &amp; D) for calculating liquid heat capacity. Applicable within the indicated min and max temperatures.
</t>
        </r>
      </text>
    </comment>
    <comment ref="G4" authorId="0" shapeId="0" xr:uid="{00000000-0006-0000-0100-000004000000}">
      <text>
        <r>
          <rPr>
            <sz val="9"/>
            <color indexed="81"/>
            <rFont val="Tahoma"/>
            <family val="2"/>
          </rPr>
          <t>Enthalpy at indicated reference temperature (ie. heat of formation at indicated Tref).</t>
        </r>
      </text>
    </comment>
    <comment ref="H4" authorId="0" shapeId="0" xr:uid="{00000000-0006-0000-0100-000005000000}">
      <text>
        <r>
          <rPr>
            <sz val="9"/>
            <color indexed="81"/>
            <rFont val="Tahoma"/>
            <family val="2"/>
          </rPr>
          <t>Reference temperature for given reference enthalpy.</t>
        </r>
      </text>
    </comment>
    <comment ref="I4" authorId="0" shapeId="0" xr:uid="{00000000-0006-0000-0100-000006000000}">
      <text>
        <r>
          <rPr>
            <sz val="9"/>
            <color indexed="81"/>
            <rFont val="Tahoma"/>
            <family val="2"/>
          </rPr>
          <t>Heat of vaporization</t>
        </r>
      </text>
    </comment>
    <comment ref="J4" authorId="0" shapeId="0" xr:uid="{00000000-0006-0000-0100-000007000000}">
      <text>
        <r>
          <rPr>
            <sz val="9"/>
            <color indexed="81"/>
            <rFont val="Tahoma"/>
            <family val="2"/>
          </rPr>
          <t>Boiling temperature</t>
        </r>
      </text>
    </comment>
    <comment ref="K4" authorId="0" shapeId="0" xr:uid="{00000000-0006-0000-0100-000008000000}">
      <text>
        <r>
          <rPr>
            <sz val="9"/>
            <color indexed="81"/>
            <rFont val="Tahoma"/>
            <family val="2"/>
          </rPr>
          <t>Is the species in gas or liquid form at Tref (1 for gas, 0 for liquid).</t>
        </r>
      </text>
    </comment>
    <comment ref="L4" authorId="0" shapeId="0" xr:uid="{00000000-0006-0000-0100-000009000000}">
      <text>
        <r>
          <rPr>
            <sz val="9"/>
            <color indexed="81"/>
            <rFont val="Tahoma"/>
            <family val="2"/>
          </rPr>
          <t>Critical Temp</t>
        </r>
      </text>
    </comment>
    <comment ref="M4" authorId="0" shapeId="0" xr:uid="{00000000-0006-0000-0100-00000A000000}">
      <text>
        <r>
          <rPr>
            <sz val="9"/>
            <color indexed="81"/>
            <rFont val="Tahoma"/>
            <family val="2"/>
          </rPr>
          <t>Critical Pressure</t>
        </r>
      </text>
    </comment>
    <comment ref="N4" authorId="0" shapeId="0" xr:uid="{00000000-0006-0000-0100-00000B000000}">
      <text>
        <r>
          <rPr>
            <b/>
            <sz val="9"/>
            <color indexed="81"/>
            <rFont val="Tahoma"/>
            <family val="2"/>
          </rPr>
          <t>Emma:</t>
        </r>
        <r>
          <rPr>
            <sz val="9"/>
            <color indexed="81"/>
            <rFont val="Tahoma"/>
            <family val="2"/>
          </rPr>
          <t xml:space="preserve">
Accentric Factor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Emma</author>
  </authors>
  <commentList>
    <comment ref="A7" authorId="0" shapeId="0" xr:uid="{00000000-0006-0000-0200-000001000000}">
      <text>
        <r>
          <rPr>
            <sz val="10"/>
            <color indexed="81"/>
            <rFont val="Tahoma"/>
            <family val="2"/>
          </rPr>
          <t>Paste in the path to the folder where the .CSV files should be saved</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Emma</author>
  </authors>
  <commentList>
    <comment ref="A6" authorId="0" shapeId="0" xr:uid="{00000000-0006-0000-0300-000001000000}">
      <text>
        <r>
          <rPr>
            <sz val="10"/>
            <color indexed="81"/>
            <rFont val="Tahoma"/>
            <family val="2"/>
          </rPr>
          <t>Paste in the path to the folder where the .CSV files should be saved</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Emma</author>
  </authors>
  <commentList>
    <comment ref="A6" authorId="0" shapeId="0" xr:uid="{00000000-0006-0000-0400-000001000000}">
      <text>
        <r>
          <rPr>
            <sz val="10"/>
            <color indexed="81"/>
            <rFont val="Tahoma"/>
            <family val="2"/>
          </rPr>
          <t>Paste in the path to the folder where the .CSV files should be saved</t>
        </r>
        <r>
          <rPr>
            <sz val="9"/>
            <color indexed="81"/>
            <rFont val="Tahoma"/>
            <family val="2"/>
          </rPr>
          <t xml:space="preserve">.
</t>
        </r>
      </text>
    </comment>
  </commentList>
</comments>
</file>

<file path=xl/sharedStrings.xml><?xml version="1.0" encoding="utf-8"?>
<sst xmlns="http://schemas.openxmlformats.org/spreadsheetml/2006/main" count="159" uniqueCount="99">
  <si>
    <t>A</t>
  </si>
  <si>
    <t>B</t>
  </si>
  <si>
    <t>C</t>
  </si>
  <si>
    <t>Tmin</t>
  </si>
  <si>
    <t>Tmax</t>
  </si>
  <si>
    <t>nitrogen</t>
  </si>
  <si>
    <t>water</t>
  </si>
  <si>
    <t>ethane</t>
  </si>
  <si>
    <t>pentane</t>
  </si>
  <si>
    <t>hexane</t>
  </si>
  <si>
    <t>cyclohexane</t>
  </si>
  <si>
    <t>Antoine</t>
  </si>
  <si>
    <t>H0</t>
  </si>
  <si>
    <t>Tref</t>
  </si>
  <si>
    <t>Hvap</t>
  </si>
  <si>
    <t>Tboil</t>
  </si>
  <si>
    <t>isGasRef</t>
  </si>
  <si>
    <t>Omega</t>
  </si>
  <si>
    <t>PengRobinson</t>
  </si>
  <si>
    <t>D</t>
  </si>
  <si>
    <t>Species Name</t>
  </si>
  <si>
    <t>K</t>
  </si>
  <si>
    <t>J/mol</t>
  </si>
  <si>
    <t>Pa</t>
  </si>
  <si>
    <t>Enthalpy Info</t>
  </si>
  <si>
    <t>Liq Cp (J/mol K)</t>
  </si>
  <si>
    <t>T_c</t>
  </si>
  <si>
    <t>P_c</t>
  </si>
  <si>
    <t>CSV Form and Species Data</t>
  </si>
  <si>
    <t>Species to be used for Simulation</t>
  </si>
  <si>
    <t>Library of Species Data</t>
  </si>
  <si>
    <t>Folder Path:</t>
  </si>
  <si>
    <r>
      <t>H</t>
    </r>
    <r>
      <rPr>
        <vertAlign val="subscript"/>
        <sz val="11"/>
        <color theme="1"/>
        <rFont val="Calibri"/>
        <family val="2"/>
        <scheme val="minor"/>
      </rPr>
      <t>0</t>
    </r>
  </si>
  <si>
    <r>
      <t>T</t>
    </r>
    <r>
      <rPr>
        <vertAlign val="subscript"/>
        <sz val="11"/>
        <color theme="1"/>
        <rFont val="Calibri"/>
        <family val="2"/>
        <scheme val="minor"/>
      </rPr>
      <t>min</t>
    </r>
  </si>
  <si>
    <r>
      <t>T</t>
    </r>
    <r>
      <rPr>
        <vertAlign val="subscript"/>
        <sz val="11"/>
        <color theme="1"/>
        <rFont val="Calibri"/>
        <family val="2"/>
        <scheme val="minor"/>
      </rPr>
      <t>max</t>
    </r>
  </si>
  <si>
    <r>
      <t>T</t>
    </r>
    <r>
      <rPr>
        <vertAlign val="subscript"/>
        <sz val="11"/>
        <color theme="1"/>
        <rFont val="Calibri"/>
        <family val="2"/>
        <scheme val="minor"/>
      </rPr>
      <t>ref</t>
    </r>
  </si>
  <si>
    <r>
      <t>H</t>
    </r>
    <r>
      <rPr>
        <vertAlign val="subscript"/>
        <sz val="11"/>
        <color theme="1"/>
        <rFont val="Calibri"/>
        <family val="2"/>
        <scheme val="minor"/>
      </rPr>
      <t>vap</t>
    </r>
  </si>
  <si>
    <r>
      <t>T</t>
    </r>
    <r>
      <rPr>
        <vertAlign val="subscript"/>
        <sz val="11"/>
        <color theme="1"/>
        <rFont val="Calibri"/>
        <family val="2"/>
        <scheme val="minor"/>
      </rPr>
      <t>boil</t>
    </r>
  </si>
  <si>
    <t>( G = 1, L = 0)</t>
  </si>
  <si>
    <r>
      <t>State at T</t>
    </r>
    <r>
      <rPr>
        <vertAlign val="subscript"/>
        <sz val="11"/>
        <color theme="1"/>
        <rFont val="Calibri"/>
        <family val="2"/>
        <scheme val="minor"/>
      </rPr>
      <t>ref</t>
    </r>
  </si>
  <si>
    <r>
      <t>T</t>
    </r>
    <r>
      <rPr>
        <vertAlign val="subscript"/>
        <sz val="11"/>
        <color theme="1"/>
        <rFont val="Calibri"/>
        <family val="2"/>
        <scheme val="minor"/>
      </rPr>
      <t>c</t>
    </r>
  </si>
  <si>
    <r>
      <t>P</t>
    </r>
    <r>
      <rPr>
        <vertAlign val="subscript"/>
        <sz val="11"/>
        <color theme="1"/>
        <rFont val="Calibri"/>
        <family val="2"/>
        <scheme val="minor"/>
      </rPr>
      <t>c</t>
    </r>
  </si>
  <si>
    <t>Ideal Gas Cp (J/mol K)</t>
  </si>
  <si>
    <t>Species_Name</t>
  </si>
  <si>
    <t>End of possible number of species</t>
  </si>
  <si>
    <t>Limit on  number of chemical species to be included in library, if adding more species, please be sure to extend drop down menu/VLOOKUP ranges in "Create CSV files" tab.</t>
  </si>
  <si>
    <t>Input Parameters to be used for Simulation</t>
  </si>
  <si>
    <t>Pt</t>
  </si>
  <si>
    <t>kg/s</t>
  </si>
  <si>
    <t>Inlet Flowrate (F_in)</t>
  </si>
  <si>
    <t>Tank Pressure (P_t)</t>
  </si>
  <si>
    <t>Fin</t>
  </si>
  <si>
    <t>Expected solution:</t>
  </si>
  <si>
    <t>Please ensure mass fractions are reported in same order as species characterstics.</t>
  </si>
  <si>
    <t>Case</t>
  </si>
  <si>
    <t>case</t>
  </si>
  <si>
    <t>Summary of Cases</t>
  </si>
  <si>
    <t>Cases</t>
  </si>
  <si>
    <t>Inputs</t>
  </si>
  <si>
    <t>Outputs</t>
  </si>
  <si>
    <t>Tank pressure, constant operating temperature, inlet flowrate, inlet mass fractions</t>
  </si>
  <si>
    <t>Tank pressure, feed temperature, inlet flowrate, inlet mass fractions</t>
  </si>
  <si>
    <t>Tank pressure, flash temperature, inlet flow rate, inlet mass fractions</t>
  </si>
  <si>
    <t>Heat required to maintain operating temperature,  outlet stream flow rates and compositions</t>
  </si>
  <si>
    <t>Adiabatic flash temperature, outlet stream flow rates and compositions</t>
  </si>
  <si>
    <t>Feed temperature, outlet stream flow rates and compositions</t>
  </si>
  <si>
    <t>Givens</t>
  </si>
  <si>
    <t>Inlet Mass Fractions (z1,..zn)</t>
  </si>
  <si>
    <t>Sources for species properties</t>
  </si>
  <si>
    <t>NIST Workbook</t>
  </si>
  <si>
    <t>Gmehling, J., Vapor-Liquid Equilibrium Data Collection, DECHEMA, Frankfort, Germany, 1977.</t>
  </si>
  <si>
    <t>TRC Thermodynamic Tables, Hydrocarbons, M. Frenkel, N.M. Gadalla, K.R. Hall, X. Hong, K.N. Marsh, R.C. Whilhoit, eds., Thermodynamics Research Center, Texas A&amp;M University, College Station, TX, 1950-1977.</t>
  </si>
  <si>
    <t xml:space="preserve">Introduction to Chemical Engineering Thermodynamics, Seventh Edition, Smith, J. M., Van Ness, H. C., &amp; Abbott, M. M. </t>
  </si>
  <si>
    <t>Antoine (Psat in Pa)</t>
  </si>
  <si>
    <t>y1</t>
  </si>
  <si>
    <t>y2</t>
  </si>
  <si>
    <t>x1</t>
  </si>
  <si>
    <t>x2</t>
  </si>
  <si>
    <t>Flash Temperature</t>
  </si>
  <si>
    <t>Feed Temperature</t>
  </si>
  <si>
    <t>Heat</t>
  </si>
  <si>
    <t>Total Flowrate</t>
  </si>
  <si>
    <t>Outlet Vapour Flowrate</t>
  </si>
  <si>
    <t>Outlet Liquid Flowrate</t>
  </si>
  <si>
    <t>Outlet Vapour composition (y1 to yn) &amp; Outlet Liquid composition (x1 to xn)</t>
  </si>
  <si>
    <t>J</t>
  </si>
  <si>
    <t>Simulation Output</t>
  </si>
  <si>
    <t>Simulation Number</t>
  </si>
  <si>
    <t>G:\User Files\School\University\Java\Project\CSVFiles</t>
  </si>
  <si>
    <t>y3</t>
  </si>
  <si>
    <t>y4</t>
  </si>
  <si>
    <t>y5</t>
  </si>
  <si>
    <t>y6</t>
  </si>
  <si>
    <t>x3</t>
  </si>
  <si>
    <t>x4</t>
  </si>
  <si>
    <t>x5</t>
  </si>
  <si>
    <t>x6</t>
  </si>
  <si>
    <t>Sample</t>
  </si>
  <si>
    <t>C:\Users\parek\OneDrive - University of Ottawa\Documents\Homework\4000\CHG4343A Java\code_GROUP3\src\csvfiles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</si>
</sst>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b/>
      <u/>
      <sz val="20"/>
      <color theme="1"/>
      <name val="Calibri"/>
      <family val="2"/>
      <scheme val="minor"/>
    </font>
    <font>
      <b/>
      <u/>
      <sz val="16"/>
      <color theme="1"/>
      <name val="Calibri"/>
      <family val="2"/>
      <scheme val="minor"/>
    </font>
    <font>
      <sz val="9"/>
      <color indexed="81"/>
      <name val="Tahoma"/>
      <family val="2"/>
    </font>
    <font>
      <b/>
      <sz val="9"/>
      <color indexed="81"/>
      <name val="Tahoma"/>
      <family val="2"/>
    </font>
    <font>
      <sz val="10"/>
      <color indexed="81"/>
      <name val="Tahoma"/>
      <family val="2"/>
    </font>
    <font>
      <vertAlign val="subscript"/>
      <sz val="11"/>
      <color theme="1"/>
      <name val="Calibri"/>
      <family val="2"/>
      <scheme val="minor"/>
    </font>
    <font>
      <sz val="11"/>
      <color theme="0"/>
      <name val="Calibri"/>
      <family val="2"/>
      <scheme val="minor"/>
    </font>
    <font>
      <b/>
      <u/>
      <sz val="14"/>
      <color theme="1"/>
      <name val="Calibri"/>
      <family val="2"/>
      <scheme val="minor"/>
    </font>
    <font>
      <sz val="11"/>
      <color rgb="FFFF0000"/>
      <name val="Calibri"/>
      <family val="2"/>
      <scheme val="minor"/>
    </font>
    <font>
      <b/>
      <sz val="12"/>
      <color theme="1"/>
      <name val="Calibri"/>
      <family val="2"/>
      <scheme val="minor"/>
    </font>
    <font>
      <sz val="12"/>
      <color theme="1"/>
      <name val="Calibri"/>
      <family val="2"/>
      <scheme val="minor"/>
    </font>
    <font>
      <i/>
      <sz val="12"/>
      <color theme="1"/>
      <name val="Calibri"/>
      <family val="2"/>
      <scheme val="minor"/>
    </font>
    <font>
      <b/>
      <i/>
      <sz val="12"/>
      <color theme="1"/>
      <name val="Calibri"/>
      <family val="2"/>
      <scheme val="minor"/>
    </font>
    <font>
      <sz val="12"/>
      <name val="Calibri"/>
      <family val="2"/>
      <scheme val="minor"/>
    </font>
    <font>
      <sz val="11"/>
      <name val="Calibri"/>
      <family val="2"/>
      <scheme val="minor"/>
    </font>
    <font>
      <b/>
      <sz val="12"/>
      <name val="Calibri"/>
      <family val="2"/>
      <scheme val="minor"/>
    </font>
    <font>
      <i/>
      <sz val="11"/>
      <color theme="1"/>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CCCC"/>
        <bgColor indexed="64"/>
      </patternFill>
    </fill>
    <fill>
      <patternFill patternType="solid">
        <fgColor rgb="FFCCFFFF"/>
        <bgColor indexed="64"/>
      </patternFill>
    </fill>
    <fill>
      <patternFill patternType="solid">
        <fgColor theme="1"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rgb="FF92D050"/>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hair">
        <color auto="1"/>
      </top>
      <bottom style="hair">
        <color auto="1"/>
      </bottom>
      <diagonal/>
    </border>
  </borders>
  <cellStyleXfs count="1">
    <xf numFmtId="0" fontId="0" fillId="0" borderId="0"/>
  </cellStyleXfs>
  <cellXfs count="125">
    <xf numFmtId="0" fontId="0" fillId="0" borderId="0" xfId="0"/>
    <xf numFmtId="0" fontId="0" fillId="0" borderId="0" xfId="0" applyBorder="1" applyAlignment="1">
      <alignment horizontal="center"/>
    </xf>
    <xf numFmtId="0" fontId="0" fillId="7" borderId="6" xfId="0" applyFill="1" applyBorder="1"/>
    <xf numFmtId="0" fontId="0" fillId="7" borderId="7" xfId="0" applyFill="1" applyBorder="1"/>
    <xf numFmtId="0" fontId="0" fillId="7" borderId="8" xfId="0" applyFill="1" applyBorder="1"/>
    <xf numFmtId="0" fontId="0" fillId="6" borderId="4" xfId="0" applyFill="1" applyBorder="1" applyAlignment="1">
      <alignment horizontal="center"/>
    </xf>
    <xf numFmtId="0" fontId="0" fillId="6" borderId="5" xfId="0"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0" fontId="0" fillId="2" borderId="6" xfId="0" applyFill="1" applyBorder="1" applyAlignment="1">
      <alignment horizontal="center"/>
    </xf>
    <xf numFmtId="0" fontId="0" fillId="2" borderId="8" xfId="0" applyFill="1" applyBorder="1" applyAlignment="1">
      <alignment horizontal="center"/>
    </xf>
    <xf numFmtId="0" fontId="0" fillId="4" borderId="6" xfId="0" applyFill="1" applyBorder="1" applyAlignment="1">
      <alignment horizontal="center"/>
    </xf>
    <xf numFmtId="0" fontId="0" fillId="4" borderId="8" xfId="0" applyFill="1" applyBorder="1" applyAlignment="1">
      <alignment horizontal="center"/>
    </xf>
    <xf numFmtId="0" fontId="0" fillId="5" borderId="6" xfId="0" applyFill="1" applyBorder="1" applyAlignment="1">
      <alignment horizontal="center"/>
    </xf>
    <xf numFmtId="0" fontId="0" fillId="5" borderId="8" xfId="0" applyFill="1" applyBorder="1" applyAlignment="1">
      <alignment horizontal="center"/>
    </xf>
    <xf numFmtId="0" fontId="0" fillId="6" borderId="6" xfId="0" applyFill="1" applyBorder="1" applyAlignment="1">
      <alignment horizontal="center"/>
    </xf>
    <xf numFmtId="0" fontId="0" fillId="6" borderId="8" xfId="0" applyFill="1" applyBorder="1" applyAlignment="1">
      <alignment horizontal="center"/>
    </xf>
    <xf numFmtId="0" fontId="2" fillId="0" borderId="0" xfId="0" applyFont="1"/>
    <xf numFmtId="0" fontId="3" fillId="0" borderId="0" xfId="0" applyFont="1"/>
    <xf numFmtId="0" fontId="1" fillId="0" borderId="0" xfId="0" applyFont="1" applyAlignment="1">
      <alignment horizontal="right"/>
    </xf>
    <xf numFmtId="0" fontId="0" fillId="5" borderId="1" xfId="0" applyFill="1" applyBorder="1" applyAlignment="1">
      <alignment horizontal="center"/>
    </xf>
    <xf numFmtId="0" fontId="0" fillId="5" borderId="4" xfId="0" applyFill="1" applyBorder="1" applyAlignment="1">
      <alignment horizontal="center"/>
    </xf>
    <xf numFmtId="0" fontId="0" fillId="6" borderId="10" xfId="0" applyFill="1" applyBorder="1" applyAlignment="1">
      <alignment horizontal="center"/>
    </xf>
    <xf numFmtId="0" fontId="0" fillId="6" borderId="9" xfId="0" applyFill="1" applyBorder="1" applyAlignment="1">
      <alignment horizontal="center"/>
    </xf>
    <xf numFmtId="0" fontId="0" fillId="6" borderId="7" xfId="0" applyFill="1" applyBorder="1" applyAlignment="1">
      <alignment horizontal="center"/>
    </xf>
    <xf numFmtId="0" fontId="0" fillId="6" borderId="11" xfId="0" applyFill="1" applyBorder="1" applyAlignment="1">
      <alignment horizontal="center"/>
    </xf>
    <xf numFmtId="0" fontId="0" fillId="2" borderId="10" xfId="0" applyFill="1" applyBorder="1" applyAlignment="1">
      <alignment horizontal="center"/>
    </xf>
    <xf numFmtId="0" fontId="0" fillId="3" borderId="10" xfId="0" applyFill="1" applyBorder="1" applyAlignment="1">
      <alignment horizontal="center"/>
    </xf>
    <xf numFmtId="0" fontId="0" fillId="4" borderId="10" xfId="0" applyFill="1" applyBorder="1" applyAlignment="1">
      <alignment horizontal="center"/>
    </xf>
    <xf numFmtId="0" fontId="0" fillId="5" borderId="10" xfId="0" applyFill="1" applyBorder="1" applyAlignment="1">
      <alignment horizontal="center"/>
    </xf>
    <xf numFmtId="0" fontId="0" fillId="0" borderId="0" xfId="0" applyAlignment="1">
      <alignment horizontal="center"/>
    </xf>
    <xf numFmtId="0" fontId="0" fillId="0" borderId="0" xfId="0" applyAlignment="1">
      <alignment horizontal="left"/>
    </xf>
    <xf numFmtId="0" fontId="0" fillId="2" borderId="14" xfId="0" applyFill="1" applyBorder="1" applyAlignment="1">
      <alignment horizontal="center"/>
    </xf>
    <xf numFmtId="0" fontId="0" fillId="8" borderId="0" xfId="0" applyFill="1" applyAlignment="1">
      <alignment horizontal="center"/>
    </xf>
    <xf numFmtId="0" fontId="0" fillId="8" borderId="0" xfId="0" applyFill="1"/>
    <xf numFmtId="0" fontId="8" fillId="8" borderId="0" xfId="0" applyFont="1" applyFill="1"/>
    <xf numFmtId="0" fontId="0" fillId="0" borderId="0" xfId="0" applyFill="1" applyBorder="1" applyAlignment="1">
      <alignment horizontal="center"/>
    </xf>
    <xf numFmtId="0" fontId="0" fillId="0" borderId="0" xfId="0" applyFill="1"/>
    <xf numFmtId="0" fontId="0" fillId="0" borderId="0" xfId="0" applyBorder="1"/>
    <xf numFmtId="0" fontId="0" fillId="0" borderId="0" xfId="0" applyFill="1" applyBorder="1"/>
    <xf numFmtId="0" fontId="0" fillId="9" borderId="0" xfId="0" applyFill="1"/>
    <xf numFmtId="0" fontId="11" fillId="0" borderId="0" xfId="0" applyFont="1" applyAlignment="1">
      <alignment horizontal="right"/>
    </xf>
    <xf numFmtId="0" fontId="12" fillId="0" borderId="0" xfId="0" applyFont="1" applyAlignment="1">
      <alignment horizontal="left"/>
    </xf>
    <xf numFmtId="0" fontId="12" fillId="0" borderId="0" xfId="0" applyFont="1"/>
    <xf numFmtId="0" fontId="12" fillId="0" borderId="0" xfId="0" applyFont="1" applyAlignment="1">
      <alignment horizontal="center"/>
    </xf>
    <xf numFmtId="0" fontId="11" fillId="0" borderId="0" xfId="0" applyFont="1" applyAlignment="1">
      <alignment horizontal="left"/>
    </xf>
    <xf numFmtId="0" fontId="12" fillId="0" borderId="0" xfId="0" applyFont="1" applyBorder="1"/>
    <xf numFmtId="0" fontId="11" fillId="0" borderId="6" xfId="0" applyFont="1" applyBorder="1" applyAlignment="1">
      <alignment horizontal="center"/>
    </xf>
    <xf numFmtId="0" fontId="11" fillId="0" borderId="6" xfId="0" applyFont="1" applyBorder="1" applyAlignment="1">
      <alignment horizontal="center" wrapText="1"/>
    </xf>
    <xf numFmtId="0" fontId="11" fillId="0" borderId="6" xfId="0" applyFont="1" applyFill="1" applyBorder="1" applyAlignment="1">
      <alignment horizontal="center" wrapText="1"/>
    </xf>
    <xf numFmtId="0" fontId="12" fillId="0" borderId="0" xfId="0" applyFont="1" applyFill="1" applyBorder="1"/>
    <xf numFmtId="0" fontId="12" fillId="0" borderId="8" xfId="0" applyFont="1" applyBorder="1" applyAlignment="1">
      <alignment horizontal="center"/>
    </xf>
    <xf numFmtId="0" fontId="11" fillId="0" borderId="8" xfId="0" applyFont="1" applyBorder="1" applyAlignment="1">
      <alignment horizontal="center"/>
    </xf>
    <xf numFmtId="0" fontId="11" fillId="0" borderId="8" xfId="0" applyFont="1" applyFill="1" applyBorder="1" applyAlignment="1">
      <alignment horizontal="center"/>
    </xf>
    <xf numFmtId="0" fontId="11" fillId="0" borderId="4" xfId="0" applyFont="1" applyBorder="1" applyAlignment="1">
      <alignment horizontal="center"/>
    </xf>
    <xf numFmtId="0" fontId="11" fillId="0" borderId="15" xfId="0" applyFont="1" applyBorder="1" applyAlignment="1">
      <alignment horizontal="center"/>
    </xf>
    <xf numFmtId="0" fontId="12" fillId="5" borderId="0" xfId="0" applyFont="1" applyFill="1" applyAlignment="1">
      <alignment horizontal="center"/>
    </xf>
    <xf numFmtId="0" fontId="12" fillId="0" borderId="10" xfId="0" applyFont="1" applyBorder="1" applyAlignment="1">
      <alignment horizontal="center"/>
    </xf>
    <xf numFmtId="0" fontId="12" fillId="0" borderId="0" xfId="0" applyFont="1" applyFill="1"/>
    <xf numFmtId="0" fontId="14" fillId="0" borderId="0" xfId="0" applyFont="1"/>
    <xf numFmtId="0" fontId="12" fillId="0" borderId="0" xfId="0" applyFont="1" applyFill="1" applyAlignment="1"/>
    <xf numFmtId="0" fontId="12" fillId="2" borderId="10" xfId="0" applyFont="1" applyFill="1" applyBorder="1" applyAlignment="1">
      <alignment horizontal="center"/>
    </xf>
    <xf numFmtId="0" fontId="12" fillId="2" borderId="12" xfId="0" applyFont="1" applyFill="1" applyBorder="1" applyAlignment="1">
      <alignment horizontal="center"/>
    </xf>
    <xf numFmtId="0" fontId="12" fillId="2" borderId="13" xfId="0" applyFont="1" applyFill="1" applyBorder="1" applyAlignment="1">
      <alignment horizontal="center"/>
    </xf>
    <xf numFmtId="0" fontId="9" fillId="0" borderId="0" xfId="0" applyFont="1" applyAlignment="1">
      <alignment horizontal="left"/>
    </xf>
    <xf numFmtId="0" fontId="0" fillId="9" borderId="0" xfId="0" applyFill="1" applyBorder="1"/>
    <xf numFmtId="0" fontId="10" fillId="0" borderId="0" xfId="0" applyFont="1" applyFill="1"/>
    <xf numFmtId="0" fontId="16" fillId="0" borderId="0" xfId="0" applyFont="1" applyFill="1" applyBorder="1"/>
    <xf numFmtId="0" fontId="16" fillId="9" borderId="0" xfId="0" applyFont="1" applyFill="1" applyBorder="1"/>
    <xf numFmtId="0" fontId="15" fillId="5" borderId="0" xfId="0" applyFont="1" applyFill="1" applyAlignment="1">
      <alignment horizontal="center"/>
    </xf>
    <xf numFmtId="0" fontId="17" fillId="0" borderId="15" xfId="0" applyFont="1" applyFill="1" applyBorder="1" applyAlignment="1">
      <alignment horizontal="center"/>
    </xf>
    <xf numFmtId="0" fontId="0" fillId="0" borderId="0" xfId="0" applyAlignment="1"/>
    <xf numFmtId="0" fontId="1" fillId="10" borderId="6" xfId="0" applyFont="1" applyFill="1" applyBorder="1" applyAlignment="1">
      <alignment horizontal="center"/>
    </xf>
    <xf numFmtId="0" fontId="0" fillId="10" borderId="8" xfId="0" applyFill="1" applyBorder="1" applyAlignment="1">
      <alignment horizontal="center"/>
    </xf>
    <xf numFmtId="0" fontId="11" fillId="10" borderId="6" xfId="0" applyFont="1" applyFill="1" applyBorder="1" applyAlignment="1">
      <alignment horizontal="center"/>
    </xf>
    <xf numFmtId="0" fontId="1" fillId="10" borderId="1" xfId="0" applyFont="1" applyFill="1" applyBorder="1" applyAlignment="1"/>
    <xf numFmtId="0" fontId="1" fillId="10" borderId="2" xfId="0" applyFont="1" applyFill="1" applyBorder="1" applyAlignment="1">
      <alignment horizontal="center"/>
    </xf>
    <xf numFmtId="0" fontId="0" fillId="10" borderId="2" xfId="0" applyFill="1" applyBorder="1" applyAlignment="1">
      <alignment horizontal="center"/>
    </xf>
    <xf numFmtId="0" fontId="0" fillId="10" borderId="2" xfId="0" applyFill="1" applyBorder="1"/>
    <xf numFmtId="0" fontId="0" fillId="10" borderId="3" xfId="0" applyFill="1" applyBorder="1"/>
    <xf numFmtId="0" fontId="0" fillId="10" borderId="4" xfId="0" applyFill="1" applyBorder="1" applyAlignment="1">
      <alignment horizontal="center"/>
    </xf>
    <xf numFmtId="0" fontId="0" fillId="10" borderId="15" xfId="0" applyFill="1" applyBorder="1" applyAlignment="1">
      <alignment horizontal="center"/>
    </xf>
    <xf numFmtId="0" fontId="0" fillId="10" borderId="5" xfId="0" applyFill="1" applyBorder="1" applyAlignment="1">
      <alignment horizontal="center"/>
    </xf>
    <xf numFmtId="0" fontId="11" fillId="0" borderId="1" xfId="0" applyFont="1" applyBorder="1" applyAlignment="1">
      <alignment horizontal="center" wrapText="1"/>
    </xf>
    <xf numFmtId="0" fontId="15" fillId="5" borderId="0" xfId="0" applyFont="1" applyFill="1" applyBorder="1" applyAlignment="1">
      <alignment horizontal="center"/>
    </xf>
    <xf numFmtId="0" fontId="17" fillId="0" borderId="2" xfId="0" applyFont="1" applyFill="1" applyBorder="1" applyAlignment="1">
      <alignment horizontal="center"/>
    </xf>
    <xf numFmtId="0" fontId="12" fillId="0" borderId="16" xfId="0" applyFont="1" applyBorder="1"/>
    <xf numFmtId="0" fontId="0" fillId="0" borderId="16" xfId="0" applyBorder="1"/>
    <xf numFmtId="0" fontId="12" fillId="0" borderId="16" xfId="0" applyFont="1" applyFill="1" applyBorder="1"/>
    <xf numFmtId="0" fontId="0" fillId="0" borderId="16" xfId="0" applyFill="1" applyBorder="1"/>
    <xf numFmtId="0" fontId="15" fillId="0" borderId="16" xfId="0" applyFont="1" applyFill="1" applyBorder="1"/>
    <xf numFmtId="0" fontId="17" fillId="0" borderId="16" xfId="0" applyFont="1" applyFill="1" applyBorder="1" applyAlignment="1">
      <alignment horizontal="center"/>
    </xf>
    <xf numFmtId="0" fontId="12" fillId="0" borderId="16" xfId="0" applyFont="1" applyFill="1" applyBorder="1" applyAlignment="1">
      <alignment horizontal="left"/>
    </xf>
    <xf numFmtId="0" fontId="1" fillId="0" borderId="16" xfId="0" applyFont="1" applyFill="1" applyBorder="1"/>
    <xf numFmtId="0" fontId="18" fillId="0" borderId="0" xfId="0" applyFont="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4" borderId="1" xfId="0"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6" borderId="10" xfId="0"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0" fontId="0" fillId="5" borderId="14" xfId="0"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0" fontId="0" fillId="6" borderId="14" xfId="0" applyFill="1" applyBorder="1" applyAlignment="1">
      <alignment horizontal="center"/>
    </xf>
    <xf numFmtId="0" fontId="8" fillId="8" borderId="0" xfId="0" applyFont="1" applyFill="1"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0" fontId="13" fillId="2" borderId="0" xfId="0" applyFont="1" applyFill="1" applyBorder="1" applyAlignment="1">
      <alignment horizontal="center"/>
    </xf>
    <xf numFmtId="0" fontId="11" fillId="0" borderId="12" xfId="0" applyFont="1" applyBorder="1" applyAlignment="1">
      <alignment horizontal="center" wrapText="1"/>
    </xf>
    <xf numFmtId="0" fontId="11" fillId="0" borderId="13" xfId="0" applyFont="1" applyBorder="1" applyAlignment="1">
      <alignment horizontal="center" wrapText="1"/>
    </xf>
    <xf numFmtId="0" fontId="11" fillId="0" borderId="2" xfId="0" applyFont="1" applyBorder="1" applyAlignment="1">
      <alignment horizontal="center" wrapText="1"/>
    </xf>
    <xf numFmtId="0" fontId="12" fillId="0" borderId="2" xfId="0" applyFont="1" applyBorder="1" applyAlignment="1">
      <alignment horizontal="center"/>
    </xf>
    <xf numFmtId="0" fontId="12" fillId="0" borderId="0" xfId="0" applyFont="1" applyBorder="1" applyAlignment="1">
      <alignment horizontal="center"/>
    </xf>
    <xf numFmtId="0" fontId="12" fillId="0" borderId="10" xfId="0" applyFont="1" applyBorder="1" applyAlignment="1">
      <alignment horizontal="center"/>
    </xf>
    <xf numFmtId="0" fontId="12" fillId="0" borderId="10" xfId="0" applyFont="1" applyBorder="1" applyAlignment="1">
      <alignment horizontal="left"/>
    </xf>
    <xf numFmtId="0" fontId="1" fillId="11" borderId="6" xfId="0" applyFont="1" applyFill="1" applyBorder="1" applyAlignment="1">
      <alignment horizontal="center" wrapText="1"/>
    </xf>
    <xf numFmtId="0" fontId="1" fillId="11" borderId="8" xfId="0" applyFont="1" applyFill="1" applyBorder="1" applyAlignment="1">
      <alignment horizontal="center" wrapText="1"/>
    </xf>
  </cellXfs>
  <cellStyles count="1">
    <cellStyle name="Normal" xfId="0" builtinId="0"/>
  </cellStyles>
  <dxfs count="2">
    <dxf>
      <fill>
        <patternFill>
          <bgColor rgb="FFFF0000"/>
        </patternFill>
      </fill>
    </dxf>
    <dxf>
      <fill>
        <patternFill>
          <bgColor rgb="FF92D050"/>
        </patternFill>
      </fill>
    </dxf>
  </dxfs>
  <tableStyles count="0" defaultTableStyle="TableStyleMedium2" defaultPivotStyle="PivotStyleLight16"/>
  <colors>
    <mruColors>
      <color rgb="FFFFCCCC"/>
      <color rgb="FFFF9999"/>
      <color rgb="FFCC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0</xdr:col>
      <xdr:colOff>171450</xdr:colOff>
      <xdr:row>2</xdr:row>
      <xdr:rowOff>161923</xdr:rowOff>
    </xdr:from>
    <xdr:ext cx="10401300" cy="730567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71450" y="685798"/>
          <a:ext cx="10401300" cy="7305677"/>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t>For the simulation program, species data is provided via .CSV files. This document allows creation</a:t>
          </a:r>
          <a:r>
            <a:rPr lang="en-US" sz="1400" baseline="0"/>
            <a:t> of the accompanying CSV files needed for the simulation to run. The CSV files may be exported to the desired folder path.</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tx1"/>
              </a:solidFill>
              <a:effectLst/>
              <a:latin typeface="+mn-lt"/>
              <a:ea typeface="+mn-ea"/>
              <a:cs typeface="+mn-cs"/>
            </a:rPr>
            <a:t>**Please</a:t>
          </a:r>
          <a:r>
            <a:rPr lang="en-US" sz="1100" i="1" baseline="0">
              <a:solidFill>
                <a:schemeClr val="tx1"/>
              </a:solidFill>
              <a:effectLst/>
              <a:latin typeface="+mn-lt"/>
              <a:ea typeface="+mn-ea"/>
              <a:cs typeface="+mn-cs"/>
            </a:rPr>
            <a:t>  ensure that the correct folder path is specified when outputting (creating) or inputting CSV files. Each tab has a cell in which to paste the desired folder path (to output to or input from). This specified folder path should match the one entered into the simulation.</a:t>
          </a:r>
          <a:endParaRPr lang="en-US" sz="1400">
            <a:effectLst/>
          </a:endParaRPr>
        </a:p>
        <a:p>
          <a:endParaRPr lang="en-US" sz="1400" baseline="0"/>
        </a:p>
        <a:p>
          <a:endParaRPr lang="en-US" sz="1400" baseline="0"/>
        </a:p>
        <a:p>
          <a:r>
            <a:rPr lang="en-US" sz="1400" b="1" u="sng" baseline="0"/>
            <a:t>Creating CSVs with species properties</a:t>
          </a:r>
        </a:p>
        <a:p>
          <a:r>
            <a:rPr lang="en-US" sz="1400" baseline="0"/>
            <a:t> All collected species data may be stored within the "Species Library" tab. To create CSV files for a simulation, first ensure that the species of interest are in the library (if not, add them). Move to the "Create Species CSVs" tab; under Species_Name select the species to be included, using the drop down list. The properties should fill in automatically, based on the properties in the library. Once all of the desired species have been added to the list, click "Create CSV files</a:t>
          </a:r>
          <a:r>
            <a:rPr lang="en-US" sz="1400" i="1" baseline="0"/>
            <a:t>".</a:t>
          </a:r>
        </a:p>
        <a:p>
          <a:endParaRPr lang="en-US" sz="1400" i="1" baseline="0"/>
        </a:p>
        <a:p>
          <a:r>
            <a:rPr lang="en-US" sz="1400" b="1" i="0" u="sng" baseline="0"/>
            <a:t>Creating CSVs with Input Parameters</a:t>
          </a:r>
        </a:p>
        <a:p>
          <a:r>
            <a:rPr lang="en-US" sz="1400" i="0" baseline="0"/>
            <a:t>CSV files containing the input parameters can be created, for all three cases, under the "Create Input Parameter CSV" tab. Simply select the case number from the drop-down menu (under Givens) &amp; fill in the required information. The names of the species mass fractions that require specifying are populated based on the chemical species listed in the "Create Species CSV" tap. Once the information is filled in, click "Create Case i CSV File". </a:t>
          </a:r>
          <a:r>
            <a:rPr lang="en-US" sz="1400" i="1" baseline="0"/>
            <a:t>A summary of the three possible cases is presented under the Givens table.</a:t>
          </a:r>
        </a:p>
        <a:p>
          <a:endParaRPr lang="en-US" sz="1400" i="1"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b="1" i="0" u="sng" baseline="0">
              <a:solidFill>
                <a:schemeClr val="tx1"/>
              </a:solidFill>
              <a:effectLst/>
              <a:latin typeface="+mn-lt"/>
              <a:ea typeface="+mn-ea"/>
              <a:cs typeface="+mn-cs"/>
            </a:rPr>
            <a:t>Simulation Output</a:t>
          </a:r>
          <a:endParaRPr lang="en-US" sz="1400" b="1">
            <a:effectLst/>
          </a:endParaRPr>
        </a:p>
        <a:p>
          <a:r>
            <a:rPr lang="en-US" sz="1400" i="0" baseline="0"/>
            <a:t>When the simulation is run (from java program), the results are output to a CSV file. The contents of this CSV file may be imported into this Excel file, in the "System Output" tab by clicking the "Obtain Simulation Results" button. When the button is clicked, the CSV file data will be imported to a new line. This allows for data from multiple runs to be easily compared.</a:t>
          </a:r>
        </a:p>
        <a:p>
          <a:endParaRPr lang="en-US" sz="1400" i="0" baseline="0"/>
        </a:p>
        <a:p>
          <a:r>
            <a:rPr lang="en-US" sz="1400" b="1" i="0" u="sng" baseline="0"/>
            <a:t>Sources</a:t>
          </a:r>
        </a:p>
        <a:p>
          <a:r>
            <a:rPr lang="en-US" sz="1400" i="0" baseline="0"/>
            <a:t>The sources tab is designed to help users track what sources were used for information in the Species Library.</a:t>
          </a:r>
        </a:p>
        <a:p>
          <a:endParaRPr lang="en-US" sz="1400" i="1" baseline="0"/>
        </a:p>
        <a:p>
          <a:r>
            <a:rPr lang="en-US" sz="1400" b="1" i="1" u="sng" baseline="0"/>
            <a:t>Document Limitations:</a:t>
          </a:r>
        </a:p>
        <a:p>
          <a:r>
            <a:rPr lang="en-US" sz="1400" i="1" baseline="0"/>
            <a:t>- The Species Library can hold up to 145 different chemical species</a:t>
          </a:r>
        </a:p>
        <a:p>
          <a:r>
            <a:rPr lang="en-US" sz="1400" i="1" baseline="0"/>
            <a:t>- The Create Species CSVs tab has been designed to allow up to 100 different species to be included for a single simulation</a:t>
          </a:r>
        </a:p>
        <a:p>
          <a:r>
            <a:rPr lang="en-US" sz="1400" i="1" baseline="0"/>
            <a:t>- The Create Input Parameter CSV tab has been designed to allow up to 23 different species to be included for a single simulation</a:t>
          </a:r>
        </a:p>
        <a:p>
          <a:endParaRPr lang="en-US" sz="1400" i="1" baseline="0"/>
        </a:p>
        <a:p>
          <a:r>
            <a:rPr lang="en-US" sz="1400" i="1" baseline="0"/>
            <a:t>In all cases, the upper limits on the number of species may be changed but requires modification of the spreadsheet functions.</a:t>
          </a:r>
        </a:p>
        <a:p>
          <a:endParaRPr lang="en-US" sz="1400" i="1" baseline="0"/>
        </a:p>
        <a:p>
          <a:r>
            <a:rPr lang="en-US" sz="1400" b="1" i="1" baseline="0"/>
            <a:t>Warning: </a:t>
          </a:r>
          <a:r>
            <a:rPr lang="en-US" sz="1400" i="1" baseline="0"/>
            <a:t>This excel sheet has been set up using functions and macros that are sensitive to names &amp; positions. Shifting, adding or deleting cells, as well as renaming fields, may impact the function of the document.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2</xdr:row>
      <xdr:rowOff>95250</xdr:rowOff>
    </xdr:from>
    <xdr:to>
      <xdr:col>2</xdr:col>
      <xdr:colOff>66675</xdr:colOff>
      <xdr:row>4</xdr:row>
      <xdr:rowOff>133350</xdr:rowOff>
    </xdr:to>
    <xdr:sp macro="[0]!species" textlink="">
      <xdr:nvSpPr>
        <xdr:cNvPr id="2" name="Rectangle 1">
          <a:extLst>
            <a:ext uri="{FF2B5EF4-FFF2-40B4-BE49-F238E27FC236}">
              <a16:creationId xmlns:a16="http://schemas.microsoft.com/office/drawing/2014/main" id="{00000000-0008-0000-0200-000002000000}"/>
            </a:ext>
          </a:extLst>
        </xdr:cNvPr>
        <xdr:cNvSpPr/>
      </xdr:nvSpPr>
      <xdr:spPr>
        <a:xfrm>
          <a:off x="142875" y="552450"/>
          <a:ext cx="1438275" cy="419100"/>
        </a:xfrm>
        <a:prstGeom prst="rect">
          <a:avLst/>
        </a:prstGeom>
        <a:solidFill>
          <a:srgbClr val="00B050"/>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tx1"/>
              </a:solidFill>
            </a:rPr>
            <a:t>Create CSV files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145675</xdr:colOff>
      <xdr:row>2</xdr:row>
      <xdr:rowOff>44823</xdr:rowOff>
    </xdr:from>
    <xdr:to>
      <xdr:col>2</xdr:col>
      <xdr:colOff>526672</xdr:colOff>
      <xdr:row>3</xdr:row>
      <xdr:rowOff>134471</xdr:rowOff>
    </xdr:to>
    <xdr:sp macro="[0]!parameters" textlink="">
      <xdr:nvSpPr>
        <xdr:cNvPr id="2" name="Rectangle 1">
          <a:extLst>
            <a:ext uri="{FF2B5EF4-FFF2-40B4-BE49-F238E27FC236}">
              <a16:creationId xmlns:a16="http://schemas.microsoft.com/office/drawing/2014/main" id="{00000000-0008-0000-0300-000002000000}"/>
            </a:ext>
          </a:extLst>
        </xdr:cNvPr>
        <xdr:cNvSpPr/>
      </xdr:nvSpPr>
      <xdr:spPr>
        <a:xfrm>
          <a:off x="145675" y="582705"/>
          <a:ext cx="2319615" cy="280148"/>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ysClr val="windowText" lastClr="000000"/>
              </a:solidFill>
            </a:rPr>
            <a:t>Create</a:t>
          </a:r>
          <a:r>
            <a:rPr lang="en-US" sz="1400" baseline="0">
              <a:solidFill>
                <a:sysClr val="windowText" lastClr="000000"/>
              </a:solidFill>
            </a:rPr>
            <a:t> Parameters</a:t>
          </a:r>
          <a:r>
            <a:rPr lang="en-US" sz="1400">
              <a:solidFill>
                <a:sysClr val="windowText" lastClr="000000"/>
              </a:solidFill>
            </a:rPr>
            <a:t> CSV File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295275</xdr:colOff>
      <xdr:row>2</xdr:row>
      <xdr:rowOff>9525</xdr:rowOff>
    </xdr:from>
    <xdr:to>
      <xdr:col>2</xdr:col>
      <xdr:colOff>990600</xdr:colOff>
      <xdr:row>3</xdr:row>
      <xdr:rowOff>247650</xdr:rowOff>
    </xdr:to>
    <xdr:sp macro="[0]!ImportCSV" textlink="">
      <xdr:nvSpPr>
        <xdr:cNvPr id="2" name="Rectangle 1">
          <a:extLst>
            <a:ext uri="{FF2B5EF4-FFF2-40B4-BE49-F238E27FC236}">
              <a16:creationId xmlns:a16="http://schemas.microsoft.com/office/drawing/2014/main" id="{00000000-0008-0000-0400-000002000000}"/>
            </a:ext>
          </a:extLst>
        </xdr:cNvPr>
        <xdr:cNvSpPr/>
      </xdr:nvSpPr>
      <xdr:spPr>
        <a:xfrm>
          <a:off x="295275" y="466725"/>
          <a:ext cx="2971800" cy="428625"/>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Obtain Simulation Results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U29" sqref="U29"/>
    </sheetView>
  </sheetViews>
  <sheetFormatPr defaultRowHeight="14.6" x14ac:dyDescent="0.4"/>
  <sheetData>
    <row r="1" spans="1:1" ht="26.15" x14ac:dyDescent="0.7">
      <c r="A1" s="17" t="s">
        <v>28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51"/>
  <sheetViews>
    <sheetView workbookViewId="0">
      <selection activeCell="H25" sqref="H25"/>
    </sheetView>
  </sheetViews>
  <sheetFormatPr defaultRowHeight="14.6" x14ac:dyDescent="0.4"/>
  <cols>
    <col min="1" max="1" width="13.53515625" bestFit="1" customWidth="1"/>
    <col min="9" max="9" width="16.15234375" customWidth="1"/>
    <col min="10" max="10" width="10.53515625" customWidth="1"/>
    <col min="11" max="11" width="11.69140625" bestFit="1" customWidth="1"/>
  </cols>
  <sheetData>
    <row r="1" spans="1:26" ht="20.6" x14ac:dyDescent="0.55000000000000004">
      <c r="A1" s="18" t="s">
        <v>30</v>
      </c>
    </row>
    <row r="3" spans="1:26" x14ac:dyDescent="0.4">
      <c r="A3" s="2" t="s">
        <v>20</v>
      </c>
      <c r="B3" s="95" t="s">
        <v>73</v>
      </c>
      <c r="C3" s="96"/>
      <c r="D3" s="96"/>
      <c r="E3" s="96"/>
      <c r="F3" s="97"/>
      <c r="G3" s="98" t="s">
        <v>24</v>
      </c>
      <c r="H3" s="99"/>
      <c r="I3" s="99"/>
      <c r="J3" s="99"/>
      <c r="K3" s="100"/>
      <c r="L3" s="101" t="s">
        <v>18</v>
      </c>
      <c r="M3" s="102"/>
      <c r="N3" s="103"/>
      <c r="O3" s="105" t="s">
        <v>42</v>
      </c>
      <c r="P3" s="106"/>
      <c r="Q3" s="106"/>
      <c r="R3" s="106"/>
      <c r="S3" s="106"/>
      <c r="T3" s="107"/>
      <c r="U3" s="104" t="s">
        <v>25</v>
      </c>
      <c r="V3" s="104"/>
      <c r="W3" s="104"/>
      <c r="X3" s="104"/>
      <c r="Y3" s="104"/>
      <c r="Z3" s="104"/>
    </row>
    <row r="4" spans="1:26" ht="17.149999999999999" x14ac:dyDescent="0.55000000000000004">
      <c r="A4" s="3"/>
      <c r="B4" s="9" t="s">
        <v>0</v>
      </c>
      <c r="C4" s="9" t="s">
        <v>1</v>
      </c>
      <c r="D4" s="9" t="s">
        <v>2</v>
      </c>
      <c r="E4" s="9" t="s">
        <v>33</v>
      </c>
      <c r="F4" s="9" t="s">
        <v>34</v>
      </c>
      <c r="G4" s="7" t="s">
        <v>32</v>
      </c>
      <c r="H4" s="7" t="s">
        <v>35</v>
      </c>
      <c r="I4" s="7" t="s">
        <v>36</v>
      </c>
      <c r="J4" s="7" t="s">
        <v>37</v>
      </c>
      <c r="K4" s="7" t="s">
        <v>39</v>
      </c>
      <c r="L4" s="11" t="s">
        <v>40</v>
      </c>
      <c r="M4" s="11" t="s">
        <v>41</v>
      </c>
      <c r="N4" s="11" t="s">
        <v>17</v>
      </c>
      <c r="O4" s="13" t="s">
        <v>0</v>
      </c>
      <c r="P4" s="13" t="s">
        <v>1</v>
      </c>
      <c r="Q4" s="13" t="s">
        <v>2</v>
      </c>
      <c r="R4" s="13" t="s">
        <v>19</v>
      </c>
      <c r="S4" s="20" t="s">
        <v>33</v>
      </c>
      <c r="T4" s="20" t="s">
        <v>34</v>
      </c>
      <c r="U4" s="23" t="s">
        <v>0</v>
      </c>
      <c r="V4" s="24" t="s">
        <v>1</v>
      </c>
      <c r="W4" s="24" t="s">
        <v>2</v>
      </c>
      <c r="X4" s="25" t="s">
        <v>19</v>
      </c>
      <c r="Y4" s="15" t="s">
        <v>33</v>
      </c>
      <c r="Z4" s="15" t="s">
        <v>34</v>
      </c>
    </row>
    <row r="5" spans="1:26" x14ac:dyDescent="0.4">
      <c r="A5" s="4"/>
      <c r="B5" s="10"/>
      <c r="C5" s="10"/>
      <c r="D5" s="10"/>
      <c r="E5" s="10" t="s">
        <v>21</v>
      </c>
      <c r="F5" s="10" t="s">
        <v>21</v>
      </c>
      <c r="G5" s="8" t="s">
        <v>22</v>
      </c>
      <c r="H5" s="8" t="s">
        <v>21</v>
      </c>
      <c r="I5" s="8" t="s">
        <v>22</v>
      </c>
      <c r="J5" s="8" t="s">
        <v>21</v>
      </c>
      <c r="K5" s="8" t="s">
        <v>38</v>
      </c>
      <c r="L5" s="12" t="s">
        <v>21</v>
      </c>
      <c r="M5" s="12" t="s">
        <v>23</v>
      </c>
      <c r="N5" s="12"/>
      <c r="O5" s="14"/>
      <c r="P5" s="14"/>
      <c r="Q5" s="14"/>
      <c r="R5" s="14"/>
      <c r="S5" s="21" t="s">
        <v>21</v>
      </c>
      <c r="T5" s="21" t="s">
        <v>21</v>
      </c>
      <c r="U5" s="5"/>
      <c r="V5" s="16"/>
      <c r="W5" s="16"/>
      <c r="X5" s="6"/>
      <c r="Y5" s="16" t="s">
        <v>21</v>
      </c>
      <c r="Z5" s="16" t="s">
        <v>21</v>
      </c>
    </row>
    <row r="6" spans="1:26" x14ac:dyDescent="0.4">
      <c r="A6" s="1" t="s">
        <v>10</v>
      </c>
      <c r="B6" s="1">
        <v>8.9763630201329399</v>
      </c>
      <c r="C6" s="1">
        <v>1206.47</v>
      </c>
      <c r="D6" s="1">
        <v>-49.99</v>
      </c>
      <c r="E6" s="1">
        <v>280.14999999999998</v>
      </c>
      <c r="F6" s="1">
        <v>354.15</v>
      </c>
      <c r="G6" s="1">
        <v>-285830</v>
      </c>
      <c r="H6" s="1">
        <v>298.14999999999998</v>
      </c>
      <c r="I6" s="1">
        <v>29978</v>
      </c>
      <c r="J6" s="1">
        <v>353.9</v>
      </c>
      <c r="K6" s="1">
        <v>0</v>
      </c>
      <c r="L6" s="1">
        <v>553.6</v>
      </c>
      <c r="M6" s="1">
        <v>4073000</v>
      </c>
      <c r="N6" s="1">
        <v>0.21</v>
      </c>
      <c r="O6" s="1">
        <v>-3.8759999999999999</v>
      </c>
      <c r="P6" s="1">
        <v>6.3249E-2</v>
      </c>
      <c r="Q6" s="1">
        <v>-2.0928E-5</v>
      </c>
      <c r="R6" s="1">
        <v>0</v>
      </c>
      <c r="S6" s="1">
        <v>298.14999999999998</v>
      </c>
      <c r="T6" s="1">
        <v>1500</v>
      </c>
      <c r="U6" s="1">
        <v>-9.048</v>
      </c>
      <c r="V6" s="1">
        <v>0.14138000000000001</v>
      </c>
      <c r="W6" s="1">
        <v>-1.6161999999999999E-4</v>
      </c>
      <c r="X6" s="1">
        <v>0</v>
      </c>
      <c r="Y6" s="1">
        <v>273.14999999999998</v>
      </c>
      <c r="Z6" s="1">
        <v>373.15</v>
      </c>
    </row>
    <row r="7" spans="1:26" x14ac:dyDescent="0.4">
      <c r="A7" s="1" t="s">
        <v>7</v>
      </c>
      <c r="B7" s="1">
        <v>8.9540530201329389</v>
      </c>
      <c r="C7" s="1">
        <v>663.72</v>
      </c>
      <c r="D7" s="1">
        <v>-16.469000000000001</v>
      </c>
      <c r="E7" s="1">
        <v>130.14999999999998</v>
      </c>
      <c r="F7" s="1">
        <v>189.14999999999998</v>
      </c>
      <c r="G7" s="1">
        <v>-83820</v>
      </c>
      <c r="H7" s="1">
        <v>298.14999999999998</v>
      </c>
      <c r="I7" s="1">
        <v>14703</v>
      </c>
      <c r="J7" s="1">
        <v>184.1</v>
      </c>
      <c r="K7" s="1">
        <v>0</v>
      </c>
      <c r="L7" s="1">
        <v>305.3</v>
      </c>
      <c r="M7" s="1">
        <v>4872000</v>
      </c>
      <c r="N7" s="1">
        <v>0.1</v>
      </c>
      <c r="O7" s="1">
        <v>1.131</v>
      </c>
      <c r="P7" s="1">
        <v>1.9224999999999999E-2</v>
      </c>
      <c r="Q7" s="1">
        <v>-5.5609999999999998E-6</v>
      </c>
      <c r="R7" s="1">
        <v>0</v>
      </c>
      <c r="S7" s="1">
        <v>298.14999999999998</v>
      </c>
      <c r="T7" s="1">
        <v>1500</v>
      </c>
      <c r="U7" s="1">
        <v>-0.28686552999999998</v>
      </c>
      <c r="V7" s="1">
        <v>8.4114750000000002E-2</v>
      </c>
      <c r="W7" s="1">
        <v>0</v>
      </c>
      <c r="X7" s="1">
        <v>0</v>
      </c>
      <c r="Y7" s="1">
        <v>273.14999999999998</v>
      </c>
      <c r="Z7" s="1">
        <v>373.15</v>
      </c>
    </row>
    <row r="8" spans="1:26" x14ac:dyDescent="0.4">
      <c r="A8" s="1" t="s">
        <v>9</v>
      </c>
      <c r="B8" s="1">
        <v>9.0354830201329399</v>
      </c>
      <c r="C8" s="1">
        <v>1189.6400000000001</v>
      </c>
      <c r="D8" s="1">
        <v>-46.87</v>
      </c>
      <c r="E8" s="1">
        <v>243.14999999999998</v>
      </c>
      <c r="F8" s="1">
        <v>443.15</v>
      </c>
      <c r="G8" s="1">
        <v>-166920</v>
      </c>
      <c r="H8" s="1">
        <v>298.14999999999998</v>
      </c>
      <c r="I8" s="1">
        <v>28850</v>
      </c>
      <c r="J8" s="1">
        <v>341.9</v>
      </c>
      <c r="K8" s="1">
        <v>0</v>
      </c>
      <c r="L8" s="1">
        <v>507.6</v>
      </c>
      <c r="M8" s="1">
        <v>3025000</v>
      </c>
      <c r="N8" s="1">
        <v>0.30099999999999999</v>
      </c>
      <c r="O8" s="1">
        <v>3.0249999999999999</v>
      </c>
      <c r="P8" s="1">
        <v>5.3772E-2</v>
      </c>
      <c r="Q8" s="1">
        <v>-1.6790999999999999E-5</v>
      </c>
      <c r="R8" s="1">
        <v>0</v>
      </c>
      <c r="S8" s="1">
        <v>298.14999999999998</v>
      </c>
      <c r="T8" s="1">
        <v>1500</v>
      </c>
      <c r="U8" s="1">
        <v>23.45080587</v>
      </c>
      <c r="V8" s="1">
        <v>0</v>
      </c>
      <c r="W8" s="1">
        <v>0</v>
      </c>
      <c r="X8" s="1">
        <v>0</v>
      </c>
      <c r="Y8" s="1">
        <v>273.14999999999998</v>
      </c>
      <c r="Z8" s="1">
        <v>373.15</v>
      </c>
    </row>
    <row r="9" spans="1:26" x14ac:dyDescent="0.4">
      <c r="A9" s="1" t="s">
        <v>5</v>
      </c>
      <c r="B9" s="1">
        <v>8.7362000101329382</v>
      </c>
      <c r="C9" s="1">
        <v>264.65100000000001</v>
      </c>
      <c r="D9" s="1">
        <v>-6.7880000000000003</v>
      </c>
      <c r="E9" s="1">
        <v>63.139999999999986</v>
      </c>
      <c r="F9" s="1">
        <v>125.99999999999997</v>
      </c>
      <c r="G9" s="1">
        <v>0</v>
      </c>
      <c r="H9" s="1">
        <v>298.14999999999998</v>
      </c>
      <c r="I9" s="1">
        <v>0</v>
      </c>
      <c r="J9" s="1">
        <v>0</v>
      </c>
      <c r="K9" s="1">
        <v>1</v>
      </c>
      <c r="L9" s="1">
        <v>126.2</v>
      </c>
      <c r="M9" s="1">
        <v>3400000</v>
      </c>
      <c r="N9" s="1">
        <v>3.7999999999999999E-2</v>
      </c>
      <c r="O9" s="1">
        <v>3.28</v>
      </c>
      <c r="P9" s="1">
        <v>5.9299999999999999E-4</v>
      </c>
      <c r="Q9" s="1">
        <v>0</v>
      </c>
      <c r="R9" s="1">
        <v>4000</v>
      </c>
      <c r="S9" s="1">
        <v>298.14999999999998</v>
      </c>
      <c r="T9" s="1">
        <v>2000</v>
      </c>
      <c r="U9" s="1">
        <v>0</v>
      </c>
      <c r="V9" s="1">
        <v>0</v>
      </c>
      <c r="W9" s="1">
        <v>0</v>
      </c>
      <c r="X9" s="1">
        <v>0</v>
      </c>
      <c r="Y9" s="1">
        <v>273.14999999999998</v>
      </c>
      <c r="Z9" s="1">
        <v>373.15</v>
      </c>
    </row>
    <row r="10" spans="1:26" x14ac:dyDescent="0.4">
      <c r="A10" s="1" t="s">
        <v>8</v>
      </c>
      <c r="B10" s="1">
        <v>8.9778630201329399</v>
      </c>
      <c r="C10" s="1">
        <v>1064.8399999999999</v>
      </c>
      <c r="D10" s="1">
        <v>-41.137999999999998</v>
      </c>
      <c r="E10" s="1">
        <v>223.14999999999998</v>
      </c>
      <c r="F10" s="1">
        <v>331.15</v>
      </c>
      <c r="G10" s="1">
        <v>-146760</v>
      </c>
      <c r="H10" s="1">
        <v>298.14999999999998</v>
      </c>
      <c r="I10" s="1">
        <v>25790</v>
      </c>
      <c r="J10" s="1">
        <v>309.2</v>
      </c>
      <c r="K10" s="1">
        <v>0</v>
      </c>
      <c r="L10" s="1">
        <v>469.7</v>
      </c>
      <c r="M10" s="1">
        <v>3370000</v>
      </c>
      <c r="N10" s="1">
        <v>0.252</v>
      </c>
      <c r="O10" s="1">
        <v>2.464</v>
      </c>
      <c r="P10" s="1">
        <v>4.5351000000000002E-2</v>
      </c>
      <c r="Q10" s="1">
        <v>-1.4110999999999999E-5</v>
      </c>
      <c r="R10" s="1">
        <v>0</v>
      </c>
      <c r="S10" s="1">
        <v>298.14999999999998</v>
      </c>
      <c r="T10" s="1">
        <v>1500</v>
      </c>
      <c r="U10" s="1">
        <v>20.109453930000001</v>
      </c>
      <c r="V10" s="1">
        <v>0</v>
      </c>
      <c r="W10" s="1">
        <v>0</v>
      </c>
      <c r="X10" s="1">
        <v>0</v>
      </c>
      <c r="Y10" s="1">
        <v>273.14999999999998</v>
      </c>
      <c r="Z10" s="1">
        <v>373.15</v>
      </c>
    </row>
    <row r="11" spans="1:26" x14ac:dyDescent="0.4">
      <c r="A11" s="1" t="s">
        <v>6</v>
      </c>
      <c r="B11" s="1">
        <v>10.196213020132939</v>
      </c>
      <c r="C11" s="1">
        <v>1730.63</v>
      </c>
      <c r="D11" s="1">
        <v>-39.723999999999997</v>
      </c>
      <c r="E11" s="1">
        <v>274.14999999999998</v>
      </c>
      <c r="F11" s="1">
        <v>373.15</v>
      </c>
      <c r="G11" s="1">
        <v>-285830</v>
      </c>
      <c r="H11" s="1">
        <v>298.14999999999998</v>
      </c>
      <c r="I11" s="1">
        <v>40660</v>
      </c>
      <c r="J11" s="1">
        <v>373.15</v>
      </c>
      <c r="K11" s="1">
        <v>0</v>
      </c>
      <c r="L11" s="1">
        <v>647.1</v>
      </c>
      <c r="M11" s="1">
        <v>22055000</v>
      </c>
      <c r="N11" s="1">
        <v>0.34499999999999997</v>
      </c>
      <c r="O11" s="1">
        <v>3.47</v>
      </c>
      <c r="P11" s="1">
        <v>1.4499999999999999E-3</v>
      </c>
      <c r="Q11" s="1">
        <v>0</v>
      </c>
      <c r="R11" s="1">
        <v>12100</v>
      </c>
      <c r="S11" s="1">
        <v>298.14999999999998</v>
      </c>
      <c r="T11" s="1">
        <v>2000</v>
      </c>
      <c r="U11" s="1">
        <v>8.7119999999999997</v>
      </c>
      <c r="V11" s="1">
        <v>1.25E-3</v>
      </c>
      <c r="W11" s="1">
        <v>-1.8E-7</v>
      </c>
      <c r="X11" s="1">
        <v>0</v>
      </c>
      <c r="Y11" s="1">
        <v>273.14999999999998</v>
      </c>
      <c r="Z11" s="1">
        <v>373.15</v>
      </c>
    </row>
    <row r="12" spans="1:26" x14ac:dyDescent="0.4">
      <c r="A12" s="36"/>
    </row>
    <row r="14" spans="1:26" x14ac:dyDescent="0.4">
      <c r="B14" s="1"/>
    </row>
    <row r="15" spans="1:26" x14ac:dyDescent="0.4">
      <c r="B15" s="1"/>
      <c r="E15" s="1"/>
    </row>
    <row r="16" spans="1:26" x14ac:dyDescent="0.4">
      <c r="B16" s="1"/>
      <c r="E16" s="1"/>
    </row>
    <row r="17" spans="2:5" x14ac:dyDescent="0.4">
      <c r="B17" s="1"/>
      <c r="E17" s="1"/>
    </row>
    <row r="18" spans="2:5" x14ac:dyDescent="0.4">
      <c r="B18" s="1"/>
      <c r="E18" s="1"/>
    </row>
    <row r="19" spans="2:5" x14ac:dyDescent="0.4">
      <c r="B19" s="1"/>
      <c r="E19" s="1"/>
    </row>
    <row r="20" spans="2:5" x14ac:dyDescent="0.4">
      <c r="E20" s="1"/>
    </row>
    <row r="21" spans="2:5" x14ac:dyDescent="0.4">
      <c r="E21" s="1"/>
    </row>
    <row r="151" spans="1:1" s="34" customFormat="1" x14ac:dyDescent="0.4">
      <c r="A151" s="35" t="s">
        <v>45</v>
      </c>
    </row>
  </sheetData>
  <sortState ref="A6:Z11">
    <sortCondition ref="A6:A11"/>
  </sortState>
  <mergeCells count="5">
    <mergeCell ref="B3:F3"/>
    <mergeCell ref="G3:K3"/>
    <mergeCell ref="L3:N3"/>
    <mergeCell ref="U3:Z3"/>
    <mergeCell ref="O3:T3"/>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D165"/>
  <sheetViews>
    <sheetView workbookViewId="0">
      <selection activeCell="B7" sqref="B7"/>
    </sheetView>
  </sheetViews>
  <sheetFormatPr defaultRowHeight="14.6" x14ac:dyDescent="0.4"/>
  <cols>
    <col min="1" max="1" width="13.53515625" bestFit="1" customWidth="1"/>
    <col min="2" max="6" width="9.15234375" style="30"/>
    <col min="7" max="7" width="13.53515625" style="30" hidden="1" customWidth="1"/>
    <col min="8" max="9" width="9.15234375" style="30"/>
    <col min="10" max="10" width="16.15234375" style="30" customWidth="1"/>
    <col min="11" max="11" width="10.53515625" style="30" customWidth="1"/>
    <col min="12" max="12" width="11.69140625" style="30" bestFit="1" customWidth="1"/>
    <col min="13" max="13" width="14.15234375" style="30" hidden="1" customWidth="1"/>
    <col min="14" max="16" width="9.15234375" style="30"/>
    <col min="17" max="17" width="14.15234375" style="30" hidden="1" customWidth="1"/>
    <col min="18" max="19" width="12.69140625" style="30" bestFit="1" customWidth="1"/>
    <col min="20" max="23" width="9.15234375" style="30"/>
    <col min="24" max="24" width="14.15234375" style="30" hidden="1" customWidth="1"/>
    <col min="25" max="30" width="9.15234375" style="30"/>
  </cols>
  <sheetData>
    <row r="1" spans="1:30" ht="20.6" x14ac:dyDescent="0.55000000000000004">
      <c r="A1" s="18" t="s">
        <v>29</v>
      </c>
    </row>
    <row r="7" spans="1:30" x14ac:dyDescent="0.4">
      <c r="A7" s="19" t="s">
        <v>31</v>
      </c>
      <c r="B7" s="31" t="s">
        <v>88</v>
      </c>
    </row>
    <row r="9" spans="1:30" x14ac:dyDescent="0.4">
      <c r="A9" s="2"/>
      <c r="B9" s="96" t="s">
        <v>11</v>
      </c>
      <c r="C9" s="96"/>
      <c r="D9" s="96"/>
      <c r="E9" s="96"/>
      <c r="F9" s="97"/>
      <c r="G9" s="2"/>
      <c r="H9" s="98" t="s">
        <v>24</v>
      </c>
      <c r="I9" s="99"/>
      <c r="J9" s="99"/>
      <c r="K9" s="99"/>
      <c r="L9" s="100"/>
      <c r="M9" s="2"/>
      <c r="N9" s="101" t="s">
        <v>18</v>
      </c>
      <c r="O9" s="102"/>
      <c r="P9" s="103"/>
      <c r="Q9" s="2"/>
      <c r="R9" s="112" t="s">
        <v>42</v>
      </c>
      <c r="S9" s="113"/>
      <c r="T9" s="113"/>
      <c r="U9" s="113"/>
      <c r="V9" s="113"/>
      <c r="W9" s="114"/>
      <c r="X9" s="2"/>
      <c r="Y9" s="108" t="s">
        <v>25</v>
      </c>
      <c r="Z9" s="109"/>
      <c r="AA9" s="109"/>
      <c r="AB9" s="109"/>
      <c r="AC9" s="109"/>
      <c r="AD9" s="110"/>
    </row>
    <row r="10" spans="1:30" x14ac:dyDescent="0.4">
      <c r="A10" s="4" t="s">
        <v>43</v>
      </c>
      <c r="B10" s="32" t="s">
        <v>0</v>
      </c>
      <c r="C10" s="26" t="s">
        <v>1</v>
      </c>
      <c r="D10" s="26" t="s">
        <v>2</v>
      </c>
      <c r="E10" s="26" t="s">
        <v>3</v>
      </c>
      <c r="F10" s="26" t="s">
        <v>4</v>
      </c>
      <c r="G10" s="4" t="s">
        <v>43</v>
      </c>
      <c r="H10" s="27" t="s">
        <v>12</v>
      </c>
      <c r="I10" s="27" t="s">
        <v>13</v>
      </c>
      <c r="J10" s="27" t="s">
        <v>14</v>
      </c>
      <c r="K10" s="27" t="s">
        <v>15</v>
      </c>
      <c r="L10" s="27" t="s">
        <v>16</v>
      </c>
      <c r="M10" s="4" t="s">
        <v>43</v>
      </c>
      <c r="N10" s="28" t="s">
        <v>26</v>
      </c>
      <c r="O10" s="28" t="s">
        <v>27</v>
      </c>
      <c r="P10" s="28" t="s">
        <v>17</v>
      </c>
      <c r="Q10" s="4" t="s">
        <v>43</v>
      </c>
      <c r="R10" s="29" t="s">
        <v>0</v>
      </c>
      <c r="S10" s="29" t="s">
        <v>1</v>
      </c>
      <c r="T10" s="29" t="s">
        <v>2</v>
      </c>
      <c r="U10" s="29" t="s">
        <v>19</v>
      </c>
      <c r="V10" s="29" t="s">
        <v>3</v>
      </c>
      <c r="W10" s="29" t="s">
        <v>4</v>
      </c>
      <c r="X10" s="4" t="s">
        <v>43</v>
      </c>
      <c r="Y10" s="22" t="s">
        <v>0</v>
      </c>
      <c r="Z10" s="22" t="s">
        <v>1</v>
      </c>
      <c r="AA10" s="22" t="s">
        <v>2</v>
      </c>
      <c r="AB10" s="22" t="s">
        <v>19</v>
      </c>
      <c r="AC10" s="22" t="s">
        <v>3</v>
      </c>
      <c r="AD10" s="22" t="s">
        <v>4</v>
      </c>
    </row>
    <row r="11" spans="1:30" x14ac:dyDescent="0.4">
      <c r="A11" t="s">
        <v>5</v>
      </c>
      <c r="B11" s="30">
        <f>IF(ISNA(VLOOKUP($A11,'Species Library'!$A$6:$Z$150,COLUMN('Species Library'!B7),FALSE)), "",VLOOKUP($A11,'Species Library'!$A$6:$Z$150,COLUMN('Species Library'!B7),FALSE))</f>
        <v>8.7362000101329382</v>
      </c>
      <c r="C11" s="30">
        <f>IF(ISNA(VLOOKUP($A11,'Species Library'!$A$6:$Z$150,COLUMN('Species Library'!C7),FALSE)), "",VLOOKUP($A11,'Species Library'!$A$6:$Z$150,COLUMN('Species Library'!C7),FALSE))</f>
        <v>264.65100000000001</v>
      </c>
      <c r="D11" s="30">
        <f>IF(ISNA(VLOOKUP($A11,'Species Library'!$A$6:$Z$150,COLUMN('Species Library'!D7),FALSE)), "",VLOOKUP($A11,'Species Library'!$A$6:$Z$150,COLUMN('Species Library'!D7),FALSE))</f>
        <v>-6.7880000000000003</v>
      </c>
      <c r="E11" s="30">
        <f>IF(ISNA(VLOOKUP($A11,'Species Library'!$A$6:$Z$150,COLUMN('Species Library'!E7),FALSE)), "",VLOOKUP($A11,'Species Library'!$A$6:$Z$150,COLUMN('Species Library'!E7),FALSE))</f>
        <v>63.139999999999986</v>
      </c>
      <c r="F11" s="30">
        <f>IF(ISNA(VLOOKUP($A11,'Species Library'!$A$6:$Z$150,COLUMN('Species Library'!F7),FALSE)), "",VLOOKUP($A11,'Species Library'!$A$6:$Z$150,COLUMN('Species Library'!F7),FALSE))</f>
        <v>125.99999999999997</v>
      </c>
      <c r="G11" s="30" t="str">
        <f>IF(A11="", "",A11)</f>
        <v>nitrogen</v>
      </c>
      <c r="H11" s="30">
        <f>IF(ISNA(VLOOKUP($A11,'Species Library'!$A$6:$Z$150,COLUMN('Species Library'!G7),FALSE)), "",VLOOKUP($A11,'Species Library'!$A$6:$Z$150,COLUMN('Species Library'!G7),FALSE))</f>
        <v>0</v>
      </c>
      <c r="I11" s="30">
        <f>IF(ISNA(VLOOKUP($A11,'Species Library'!$A$6:$Z$150,COLUMN('Species Library'!H7),FALSE)), "",VLOOKUP($A11,'Species Library'!$A$6:$Z$150,COLUMN('Species Library'!H7),FALSE))</f>
        <v>298.14999999999998</v>
      </c>
      <c r="J11" s="30">
        <f>IF(ISNA(VLOOKUP($A11,'Species Library'!$A$6:$Z$150,COLUMN('Species Library'!I7),FALSE)), "",VLOOKUP($A11,'Species Library'!$A$6:$Z$150,COLUMN('Species Library'!I7),FALSE))</f>
        <v>0</v>
      </c>
      <c r="K11" s="30">
        <f>IF(ISNA(VLOOKUP($A11,'Species Library'!$A$6:$Z$150,COLUMN('Species Library'!J7),FALSE)), "",VLOOKUP($A11,'Species Library'!$A$6:$Z$150,COLUMN('Species Library'!J7),FALSE))</f>
        <v>0</v>
      </c>
      <c r="L11" s="30">
        <f>IF(ISNA(VLOOKUP($A11,'Species Library'!$A$6:$Z$150,COLUMN('Species Library'!K7),FALSE)), "",VLOOKUP($A11,'Species Library'!$A$6:$Z$150,COLUMN('Species Library'!K7),FALSE))</f>
        <v>1</v>
      </c>
      <c r="M11" s="30" t="str">
        <f>IF(A11="", "",A11)</f>
        <v>nitrogen</v>
      </c>
      <c r="N11" s="30">
        <f>IF(ISNA(VLOOKUP($A11,'Species Library'!$A$6:$Z$150,COLUMN('Species Library'!L7),FALSE)), "",VLOOKUP($A11,'Species Library'!$A$6:$Z$150,COLUMN('Species Library'!L7),FALSE))</f>
        <v>126.2</v>
      </c>
      <c r="O11" s="30">
        <f>IF(ISNA(VLOOKUP($A11,'Species Library'!$A$6:$Z$150,COLUMN('Species Library'!M7),FALSE)), "",VLOOKUP($A11,'Species Library'!$A$6:$Z$150,COLUMN('Species Library'!M7),FALSE))</f>
        <v>3400000</v>
      </c>
      <c r="P11" s="30">
        <f>IF(ISNA(VLOOKUP($A11,'Species Library'!$A$6:$Z$150,COLUMN('Species Library'!N7),FALSE)), "",VLOOKUP($A11,'Species Library'!$A$6:$Z$150,COLUMN('Species Library'!N7),FALSE))</f>
        <v>3.7999999999999999E-2</v>
      </c>
      <c r="Q11" s="30" t="str">
        <f>IF(A11="", "",A11)</f>
        <v>nitrogen</v>
      </c>
      <c r="R11" s="30">
        <f>IF(ISNA(VLOOKUP($A11,'Species Library'!$A$6:$Z$150,COLUMN('Species Library'!O7),FALSE)), "",VLOOKUP($A11,'Species Library'!$A$6:$Z$150,COLUMN('Species Library'!O7),FALSE))</f>
        <v>3.28</v>
      </c>
      <c r="S11" s="30">
        <f>IF(ISNA(VLOOKUP($A11,'Species Library'!$A$6:$Z$150,COLUMN('Species Library'!P7),FALSE)), "",VLOOKUP($A11,'Species Library'!$A$6:$Z$150,COLUMN('Species Library'!P7),FALSE))</f>
        <v>5.9299999999999999E-4</v>
      </c>
      <c r="T11" s="30">
        <f>IF(ISNA(VLOOKUP($A11,'Species Library'!$A$6:$Z$150,COLUMN('Species Library'!Q7),FALSE)), "",VLOOKUP($A11,'Species Library'!$A$6:$Z$150,COLUMN('Species Library'!Q7),FALSE))</f>
        <v>0</v>
      </c>
      <c r="U11" s="30">
        <f>IF(ISNA(VLOOKUP($A11,'Species Library'!$A$6:$Z$150,COLUMN('Species Library'!R7),FALSE)), "",VLOOKUP($A11,'Species Library'!$A$6:$Z$150,COLUMN('Species Library'!R7),FALSE))</f>
        <v>4000</v>
      </c>
      <c r="V11" s="30">
        <f>IF(ISNA(VLOOKUP($A11,'Species Library'!$A$6:$Z$150,COLUMN('Species Library'!S7),FALSE)), "",VLOOKUP($A11,'Species Library'!$A$6:$Z$150,COLUMN('Species Library'!S7),FALSE))</f>
        <v>298.14999999999998</v>
      </c>
      <c r="W11" s="30">
        <f>IF(ISNA(VLOOKUP($A11,'Species Library'!$A$6:$Z$150,COLUMN('Species Library'!T7),FALSE)), "",VLOOKUP($A11,'Species Library'!$A$6:$Z$150,COLUMN('Species Library'!T7),FALSE))</f>
        <v>2000</v>
      </c>
      <c r="X11" s="30" t="str">
        <f>IF(A11="", "",A11)</f>
        <v>nitrogen</v>
      </c>
      <c r="Y11" s="30">
        <f>IF(ISNA(VLOOKUP($A11,'Species Library'!$A$6:$Z$150,COLUMN('Species Library'!U7),FALSE)), "",VLOOKUP($A11,'Species Library'!$A$6:$Z$150,COLUMN('Species Library'!U7),FALSE))</f>
        <v>0</v>
      </c>
      <c r="Z11" s="30">
        <f>IF(ISNA(VLOOKUP($A11,'Species Library'!$A$6:$Z$150,COLUMN('Species Library'!V7),FALSE)), "",VLOOKUP($A11,'Species Library'!$A$6:$Z$150,COLUMN('Species Library'!V7),FALSE))</f>
        <v>0</v>
      </c>
      <c r="AA11" s="30">
        <f>IF(ISNA(VLOOKUP($A11,'Species Library'!$A$6:$Z$150,COLUMN('Species Library'!W7),FALSE)), "",VLOOKUP($A11,'Species Library'!$A$6:$Z$150,COLUMN('Species Library'!W7),FALSE))</f>
        <v>0</v>
      </c>
      <c r="AB11" s="30">
        <f>IF(ISNA(VLOOKUP($A11,'Species Library'!$A$6:$Z$150,COLUMN('Species Library'!X7),FALSE)), "",VLOOKUP($A11,'Species Library'!$A$6:$Z$150,COLUMN('Species Library'!X7),FALSE))</f>
        <v>0</v>
      </c>
      <c r="AC11" s="30">
        <f>IF(ISNA(VLOOKUP($A11,'Species Library'!$A$6:$Z$150,COLUMN('Species Library'!Y7),FALSE)), "",VLOOKUP($A11,'Species Library'!$A$6:$Z$150,COLUMN('Species Library'!Y7),FALSE))</f>
        <v>273.14999999999998</v>
      </c>
      <c r="AD11" s="30">
        <f>IF(ISNA(VLOOKUP($A11,'Species Library'!$A$6:$Z$150,COLUMN('Species Library'!Z7),FALSE)), "",VLOOKUP($A11,'Species Library'!$A$6:$Z$150,COLUMN('Species Library'!Z7),FALSE))</f>
        <v>373.15</v>
      </c>
    </row>
    <row r="12" spans="1:30" x14ac:dyDescent="0.4">
      <c r="A12" t="s">
        <v>6</v>
      </c>
      <c r="B12" s="30">
        <f>IF(ISNA(VLOOKUP($A12,'Species Library'!$A$6:$Z$150,COLUMN('Species Library'!B8),FALSE)), "",VLOOKUP($A12,'Species Library'!$A$6:$Z$150,COLUMN('Species Library'!B8),FALSE))</f>
        <v>10.196213020132939</v>
      </c>
      <c r="C12" s="30">
        <f>IF(ISNA(VLOOKUP($A12,'Species Library'!$A$6:$Z$150,COLUMN('Species Library'!C8),FALSE)), "",VLOOKUP($A12,'Species Library'!$A$6:$Z$150,COLUMN('Species Library'!C8),FALSE))</f>
        <v>1730.63</v>
      </c>
      <c r="D12" s="30">
        <f>IF(ISNA(VLOOKUP($A12,'Species Library'!$A$6:$Z$150,COLUMN('Species Library'!D8),FALSE)), "",VLOOKUP($A12,'Species Library'!$A$6:$Z$150,COLUMN('Species Library'!D8),FALSE))</f>
        <v>-39.723999999999997</v>
      </c>
      <c r="E12" s="30">
        <f>IF(ISNA(VLOOKUP($A12,'Species Library'!$A$6:$Z$150,COLUMN('Species Library'!E8),FALSE)), "",VLOOKUP($A12,'Species Library'!$A$6:$Z$150,COLUMN('Species Library'!E8),FALSE))</f>
        <v>274.14999999999998</v>
      </c>
      <c r="F12" s="30">
        <f>IF(ISNA(VLOOKUP($A12,'Species Library'!$A$6:$Z$150,COLUMN('Species Library'!F8),FALSE)), "",VLOOKUP($A12,'Species Library'!$A$6:$Z$150,COLUMN('Species Library'!F8),FALSE))</f>
        <v>373.15</v>
      </c>
      <c r="G12" s="30" t="str">
        <f t="shared" ref="G12:G75" si="0">IF(A12="", "",A12)</f>
        <v>water</v>
      </c>
      <c r="H12" s="30">
        <f>IF(ISNA(VLOOKUP($A12,'Species Library'!$A$6:$Z$150,COLUMN('Species Library'!G8),FALSE)), "",VLOOKUP($A12,'Species Library'!$A$6:$Z$150,COLUMN('Species Library'!G8),FALSE))</f>
        <v>-285830</v>
      </c>
      <c r="I12" s="30">
        <f>IF(ISNA(VLOOKUP($A12,'Species Library'!$A$6:$Z$150,COLUMN('Species Library'!H8),FALSE)), "",VLOOKUP($A12,'Species Library'!$A$6:$Z$150,COLUMN('Species Library'!H8),FALSE))</f>
        <v>298.14999999999998</v>
      </c>
      <c r="J12" s="30">
        <f>IF(ISNA(VLOOKUP($A12,'Species Library'!$A$6:$Z$150,COLUMN('Species Library'!I8),FALSE)), "",VLOOKUP($A12,'Species Library'!$A$6:$Z$150,COLUMN('Species Library'!I8),FALSE))</f>
        <v>40660</v>
      </c>
      <c r="K12" s="30">
        <f>IF(ISNA(VLOOKUP($A12,'Species Library'!$A$6:$Z$150,COLUMN('Species Library'!J8),FALSE)), "",VLOOKUP($A12,'Species Library'!$A$6:$Z$150,COLUMN('Species Library'!J8),FALSE))</f>
        <v>373.15</v>
      </c>
      <c r="L12" s="30">
        <f>IF(ISNA(VLOOKUP($A12,'Species Library'!$A$6:$Z$150,COLUMN('Species Library'!K8),FALSE)), "",VLOOKUP($A12,'Species Library'!$A$6:$Z$150,COLUMN('Species Library'!K8),FALSE))</f>
        <v>0</v>
      </c>
      <c r="M12" s="30" t="str">
        <f t="shared" ref="M12:M75" si="1">IF(A12="", "",A12)</f>
        <v>water</v>
      </c>
      <c r="N12" s="30">
        <f>IF(ISNA(VLOOKUP($A12,'Species Library'!$A$6:$Z$150,COLUMN('Species Library'!L8),FALSE)), "",VLOOKUP($A12,'Species Library'!$A$6:$Z$150,COLUMN('Species Library'!L8),FALSE))</f>
        <v>647.1</v>
      </c>
      <c r="O12" s="30">
        <f>IF(ISNA(VLOOKUP($A12,'Species Library'!$A$6:$Z$150,COLUMN('Species Library'!M8),FALSE)), "",VLOOKUP($A12,'Species Library'!$A$6:$Z$150,COLUMN('Species Library'!M8),FALSE))</f>
        <v>22055000</v>
      </c>
      <c r="P12" s="30">
        <f>IF(ISNA(VLOOKUP($A12,'Species Library'!$A$6:$Z$150,COLUMN('Species Library'!N8),FALSE)), "",VLOOKUP($A12,'Species Library'!$A$6:$Z$150,COLUMN('Species Library'!N8),FALSE))</f>
        <v>0.34499999999999997</v>
      </c>
      <c r="Q12" s="30" t="str">
        <f t="shared" ref="Q12:Q75" si="2">IF(A12="", "",A12)</f>
        <v>water</v>
      </c>
      <c r="R12" s="30">
        <f>IF(ISNA(VLOOKUP($A12,'Species Library'!$A$6:$Z$150,COLUMN('Species Library'!O8),FALSE)), "",VLOOKUP($A12,'Species Library'!$A$6:$Z$150,COLUMN('Species Library'!O8),FALSE))</f>
        <v>3.47</v>
      </c>
      <c r="S12" s="30">
        <f>IF(ISNA(VLOOKUP($A12,'Species Library'!$A$6:$Z$150,COLUMN('Species Library'!P8),FALSE)), "",VLOOKUP($A12,'Species Library'!$A$6:$Z$150,COLUMN('Species Library'!P8),FALSE))</f>
        <v>1.4499999999999999E-3</v>
      </c>
      <c r="T12" s="30">
        <f>IF(ISNA(VLOOKUP($A12,'Species Library'!$A$6:$Z$150,COLUMN('Species Library'!Q8),FALSE)), "",VLOOKUP($A12,'Species Library'!$A$6:$Z$150,COLUMN('Species Library'!Q8),FALSE))</f>
        <v>0</v>
      </c>
      <c r="U12" s="30">
        <f>IF(ISNA(VLOOKUP($A12,'Species Library'!$A$6:$Z$150,COLUMN('Species Library'!R8),FALSE)), "",VLOOKUP($A12,'Species Library'!$A$6:$Z$150,COLUMN('Species Library'!R8),FALSE))</f>
        <v>12100</v>
      </c>
      <c r="V12" s="30">
        <f>IF(ISNA(VLOOKUP($A12,'Species Library'!$A$6:$Z$150,COLUMN('Species Library'!S8),FALSE)), "",VLOOKUP($A12,'Species Library'!$A$6:$Z$150,COLUMN('Species Library'!S8),FALSE))</f>
        <v>298.14999999999998</v>
      </c>
      <c r="W12" s="30">
        <f>IF(ISNA(VLOOKUP($A12,'Species Library'!$A$6:$Z$150,COLUMN('Species Library'!T8),FALSE)), "",VLOOKUP($A12,'Species Library'!$A$6:$Z$150,COLUMN('Species Library'!T8),FALSE))</f>
        <v>2000</v>
      </c>
      <c r="X12" s="30" t="str">
        <f t="shared" ref="X12:X75" si="3">IF(A12="", "",A12)</f>
        <v>water</v>
      </c>
      <c r="Y12" s="30">
        <f>IF(ISNA(VLOOKUP($A12,'Species Library'!$A$6:$Z$150,COLUMN('Species Library'!U8),FALSE)), "",VLOOKUP($A12,'Species Library'!$A$6:$Z$150,COLUMN('Species Library'!U8),FALSE))</f>
        <v>8.7119999999999997</v>
      </c>
      <c r="Z12" s="30">
        <f>IF(ISNA(VLOOKUP($A12,'Species Library'!$A$6:$Z$150,COLUMN('Species Library'!V8),FALSE)), "",VLOOKUP($A12,'Species Library'!$A$6:$Z$150,COLUMN('Species Library'!V8),FALSE))</f>
        <v>1.25E-3</v>
      </c>
      <c r="AA12" s="30">
        <f>IF(ISNA(VLOOKUP($A12,'Species Library'!$A$6:$Z$150,COLUMN('Species Library'!W8),FALSE)), "",VLOOKUP($A12,'Species Library'!$A$6:$Z$150,COLUMN('Species Library'!W8),FALSE))</f>
        <v>-1.8E-7</v>
      </c>
      <c r="AB12" s="30">
        <f>IF(ISNA(VLOOKUP($A12,'Species Library'!$A$6:$Z$150,COLUMN('Species Library'!X8),FALSE)), "",VLOOKUP($A12,'Species Library'!$A$6:$Z$150,COLUMN('Species Library'!X8),FALSE))</f>
        <v>0</v>
      </c>
      <c r="AC12" s="30">
        <f>IF(ISNA(VLOOKUP($A12,'Species Library'!$A$6:$Z$150,COLUMN('Species Library'!Y8),FALSE)), "",VLOOKUP($A12,'Species Library'!$A$6:$Z$150,COLUMN('Species Library'!Y8),FALSE))</f>
        <v>273.14999999999998</v>
      </c>
      <c r="AD12" s="30">
        <f>IF(ISNA(VLOOKUP($A12,'Species Library'!$A$6:$Z$150,COLUMN('Species Library'!Z8),FALSE)), "",VLOOKUP($A12,'Species Library'!$A$6:$Z$150,COLUMN('Species Library'!Z8),FALSE))</f>
        <v>373.15</v>
      </c>
    </row>
    <row r="13" spans="1:30" x14ac:dyDescent="0.4">
      <c r="A13" t="s">
        <v>7</v>
      </c>
      <c r="B13" s="30">
        <f>IF(ISNA(VLOOKUP($A13,'Species Library'!$A$6:$Z$150,COLUMN('Species Library'!B9),FALSE)), "",VLOOKUP($A13,'Species Library'!$A$6:$Z$150,COLUMN('Species Library'!B9),FALSE))</f>
        <v>8.9540530201329389</v>
      </c>
      <c r="C13" s="30">
        <f>IF(ISNA(VLOOKUP($A13,'Species Library'!$A$6:$Z$150,COLUMN('Species Library'!C9),FALSE)), "",VLOOKUP($A13,'Species Library'!$A$6:$Z$150,COLUMN('Species Library'!C9),FALSE))</f>
        <v>663.72</v>
      </c>
      <c r="D13" s="30">
        <f>IF(ISNA(VLOOKUP($A13,'Species Library'!$A$6:$Z$150,COLUMN('Species Library'!D9),FALSE)), "",VLOOKUP($A13,'Species Library'!$A$6:$Z$150,COLUMN('Species Library'!D9),FALSE))</f>
        <v>-16.469000000000001</v>
      </c>
      <c r="E13" s="30">
        <f>IF(ISNA(VLOOKUP($A13,'Species Library'!$A$6:$Z$150,COLUMN('Species Library'!E9),FALSE)), "",VLOOKUP($A13,'Species Library'!$A$6:$Z$150,COLUMN('Species Library'!E9),FALSE))</f>
        <v>130.14999999999998</v>
      </c>
      <c r="F13" s="30">
        <f>IF(ISNA(VLOOKUP($A13,'Species Library'!$A$6:$Z$150,COLUMN('Species Library'!F9),FALSE)), "",VLOOKUP($A13,'Species Library'!$A$6:$Z$150,COLUMN('Species Library'!F9),FALSE))</f>
        <v>189.14999999999998</v>
      </c>
      <c r="G13" s="30" t="str">
        <f t="shared" si="0"/>
        <v>ethane</v>
      </c>
      <c r="H13" s="30">
        <f>IF(ISNA(VLOOKUP($A13,'Species Library'!$A$6:$Z$150,COLUMN('Species Library'!G9),FALSE)), "",VLOOKUP($A13,'Species Library'!$A$6:$Z$150,COLUMN('Species Library'!G9),FALSE))</f>
        <v>-83820</v>
      </c>
      <c r="I13" s="30">
        <f>IF(ISNA(VLOOKUP($A13,'Species Library'!$A$6:$Z$150,COLUMN('Species Library'!H9),FALSE)), "",VLOOKUP($A13,'Species Library'!$A$6:$Z$150,COLUMN('Species Library'!H9),FALSE))</f>
        <v>298.14999999999998</v>
      </c>
      <c r="J13" s="30">
        <f>IF(ISNA(VLOOKUP($A13,'Species Library'!$A$6:$Z$150,COLUMN('Species Library'!I9),FALSE)), "",VLOOKUP($A13,'Species Library'!$A$6:$Z$150,COLUMN('Species Library'!I9),FALSE))</f>
        <v>14703</v>
      </c>
      <c r="K13" s="30">
        <f>IF(ISNA(VLOOKUP($A13,'Species Library'!$A$6:$Z$150,COLUMN('Species Library'!J9),FALSE)), "",VLOOKUP($A13,'Species Library'!$A$6:$Z$150,COLUMN('Species Library'!J9),FALSE))</f>
        <v>184.1</v>
      </c>
      <c r="L13" s="30">
        <f>IF(ISNA(VLOOKUP($A13,'Species Library'!$A$6:$Z$150,COLUMN('Species Library'!K9),FALSE)), "",VLOOKUP($A13,'Species Library'!$A$6:$Z$150,COLUMN('Species Library'!K9),FALSE))</f>
        <v>0</v>
      </c>
      <c r="M13" s="30" t="str">
        <f t="shared" si="1"/>
        <v>ethane</v>
      </c>
      <c r="N13" s="30">
        <f>IF(ISNA(VLOOKUP($A13,'Species Library'!$A$6:$Z$150,COLUMN('Species Library'!L9),FALSE)), "",VLOOKUP($A13,'Species Library'!$A$6:$Z$150,COLUMN('Species Library'!L9),FALSE))</f>
        <v>305.3</v>
      </c>
      <c r="O13" s="30">
        <f>IF(ISNA(VLOOKUP($A13,'Species Library'!$A$6:$Z$150,COLUMN('Species Library'!M9),FALSE)), "",VLOOKUP($A13,'Species Library'!$A$6:$Z$150,COLUMN('Species Library'!M9),FALSE))</f>
        <v>4872000</v>
      </c>
      <c r="P13" s="30">
        <f>IF(ISNA(VLOOKUP($A13,'Species Library'!$A$6:$Z$150,COLUMN('Species Library'!N9),FALSE)), "",VLOOKUP($A13,'Species Library'!$A$6:$Z$150,COLUMN('Species Library'!N9),FALSE))</f>
        <v>0.1</v>
      </c>
      <c r="Q13" s="30" t="str">
        <f t="shared" si="2"/>
        <v>ethane</v>
      </c>
      <c r="R13" s="30">
        <f>IF(ISNA(VLOOKUP($A13,'Species Library'!$A$6:$Z$150,COLUMN('Species Library'!O9),FALSE)), "",VLOOKUP($A13,'Species Library'!$A$6:$Z$150,COLUMN('Species Library'!O9),FALSE))</f>
        <v>1.131</v>
      </c>
      <c r="S13" s="30">
        <f>IF(ISNA(VLOOKUP($A13,'Species Library'!$A$6:$Z$150,COLUMN('Species Library'!P9),FALSE)), "",VLOOKUP($A13,'Species Library'!$A$6:$Z$150,COLUMN('Species Library'!P9),FALSE))</f>
        <v>1.9224999999999999E-2</v>
      </c>
      <c r="T13" s="30">
        <f>IF(ISNA(VLOOKUP($A13,'Species Library'!$A$6:$Z$150,COLUMN('Species Library'!Q9),FALSE)), "",VLOOKUP($A13,'Species Library'!$A$6:$Z$150,COLUMN('Species Library'!Q9),FALSE))</f>
        <v>-5.5609999999999998E-6</v>
      </c>
      <c r="U13" s="30">
        <f>IF(ISNA(VLOOKUP($A13,'Species Library'!$A$6:$Z$150,COLUMN('Species Library'!R9),FALSE)), "",VLOOKUP($A13,'Species Library'!$A$6:$Z$150,COLUMN('Species Library'!R9),FALSE))</f>
        <v>0</v>
      </c>
      <c r="V13" s="30">
        <f>IF(ISNA(VLOOKUP($A13,'Species Library'!$A$6:$Z$150,COLUMN('Species Library'!S9),FALSE)), "",VLOOKUP($A13,'Species Library'!$A$6:$Z$150,COLUMN('Species Library'!S9),FALSE))</f>
        <v>298.14999999999998</v>
      </c>
      <c r="W13" s="30">
        <f>IF(ISNA(VLOOKUP($A13,'Species Library'!$A$6:$Z$150,COLUMN('Species Library'!T9),FALSE)), "",VLOOKUP($A13,'Species Library'!$A$6:$Z$150,COLUMN('Species Library'!T9),FALSE))</f>
        <v>1500</v>
      </c>
      <c r="X13" s="30" t="str">
        <f t="shared" si="3"/>
        <v>ethane</v>
      </c>
      <c r="Y13" s="30">
        <f>IF(ISNA(VLOOKUP($A13,'Species Library'!$A$6:$Z$150,COLUMN('Species Library'!U9),FALSE)), "",VLOOKUP($A13,'Species Library'!$A$6:$Z$150,COLUMN('Species Library'!U9),FALSE))</f>
        <v>-0.28686552999999998</v>
      </c>
      <c r="Z13" s="30">
        <f>IF(ISNA(VLOOKUP($A13,'Species Library'!$A$6:$Z$150,COLUMN('Species Library'!V9),FALSE)), "",VLOOKUP($A13,'Species Library'!$A$6:$Z$150,COLUMN('Species Library'!V9),FALSE))</f>
        <v>8.4114750000000002E-2</v>
      </c>
      <c r="AA13" s="30">
        <f>IF(ISNA(VLOOKUP($A13,'Species Library'!$A$6:$Z$150,COLUMN('Species Library'!W9),FALSE)), "",VLOOKUP($A13,'Species Library'!$A$6:$Z$150,COLUMN('Species Library'!W9),FALSE))</f>
        <v>0</v>
      </c>
      <c r="AB13" s="30">
        <f>IF(ISNA(VLOOKUP($A13,'Species Library'!$A$6:$Z$150,COLUMN('Species Library'!X9),FALSE)), "",VLOOKUP($A13,'Species Library'!$A$6:$Z$150,COLUMN('Species Library'!X9),FALSE))</f>
        <v>0</v>
      </c>
      <c r="AC13" s="30">
        <f>IF(ISNA(VLOOKUP($A13,'Species Library'!$A$6:$Z$150,COLUMN('Species Library'!Y9),FALSE)), "",VLOOKUP($A13,'Species Library'!$A$6:$Z$150,COLUMN('Species Library'!Y9),FALSE))</f>
        <v>273.14999999999998</v>
      </c>
      <c r="AD13" s="30">
        <f>IF(ISNA(VLOOKUP($A13,'Species Library'!$A$6:$Z$150,COLUMN('Species Library'!Z9),FALSE)), "",VLOOKUP($A13,'Species Library'!$A$6:$Z$150,COLUMN('Species Library'!Z9),FALSE))</f>
        <v>373.15</v>
      </c>
    </row>
    <row r="14" spans="1:30" x14ac:dyDescent="0.4">
      <c r="A14" t="s">
        <v>8</v>
      </c>
      <c r="B14" s="30">
        <f>IF(ISNA(VLOOKUP($A14,'Species Library'!$A$6:$Z$150,COLUMN('Species Library'!B10),FALSE)), "",VLOOKUP($A14,'Species Library'!$A$6:$Z$150,COLUMN('Species Library'!B10),FALSE))</f>
        <v>8.9778630201329399</v>
      </c>
      <c r="C14" s="30">
        <f>IF(ISNA(VLOOKUP($A14,'Species Library'!$A$6:$Z$150,COLUMN('Species Library'!C10),FALSE)), "",VLOOKUP($A14,'Species Library'!$A$6:$Z$150,COLUMN('Species Library'!C10),FALSE))</f>
        <v>1064.8399999999999</v>
      </c>
      <c r="D14" s="30">
        <f>IF(ISNA(VLOOKUP($A14,'Species Library'!$A$6:$Z$150,COLUMN('Species Library'!D10),FALSE)), "",VLOOKUP($A14,'Species Library'!$A$6:$Z$150,COLUMN('Species Library'!D10),FALSE))</f>
        <v>-41.137999999999998</v>
      </c>
      <c r="E14" s="30">
        <f>IF(ISNA(VLOOKUP($A14,'Species Library'!$A$6:$Z$150,COLUMN('Species Library'!E10),FALSE)), "",VLOOKUP($A14,'Species Library'!$A$6:$Z$150,COLUMN('Species Library'!E10),FALSE))</f>
        <v>223.14999999999998</v>
      </c>
      <c r="F14" s="30">
        <f>IF(ISNA(VLOOKUP($A14,'Species Library'!$A$6:$Z$150,COLUMN('Species Library'!F10),FALSE)), "",VLOOKUP($A14,'Species Library'!$A$6:$Z$150,COLUMN('Species Library'!F10),FALSE))</f>
        <v>331.15</v>
      </c>
      <c r="G14" s="30" t="str">
        <f t="shared" si="0"/>
        <v>pentane</v>
      </c>
      <c r="H14" s="30">
        <f>IF(ISNA(VLOOKUP($A14,'Species Library'!$A$6:$Z$150,COLUMN('Species Library'!G10),FALSE)), "",VLOOKUP($A14,'Species Library'!$A$6:$Z$150,COLUMN('Species Library'!G10),FALSE))</f>
        <v>-146760</v>
      </c>
      <c r="I14" s="30">
        <f>IF(ISNA(VLOOKUP($A14,'Species Library'!$A$6:$Z$150,COLUMN('Species Library'!H10),FALSE)), "",VLOOKUP($A14,'Species Library'!$A$6:$Z$150,COLUMN('Species Library'!H10),FALSE))</f>
        <v>298.14999999999998</v>
      </c>
      <c r="J14" s="30">
        <f>IF(ISNA(VLOOKUP($A14,'Species Library'!$A$6:$Z$150,COLUMN('Species Library'!I10),FALSE)), "",VLOOKUP($A14,'Species Library'!$A$6:$Z$150,COLUMN('Species Library'!I10),FALSE))</f>
        <v>25790</v>
      </c>
      <c r="K14" s="30">
        <f>IF(ISNA(VLOOKUP($A14,'Species Library'!$A$6:$Z$150,COLUMN('Species Library'!J10),FALSE)), "",VLOOKUP($A14,'Species Library'!$A$6:$Z$150,COLUMN('Species Library'!J10),FALSE))</f>
        <v>309.2</v>
      </c>
      <c r="L14" s="30">
        <f>IF(ISNA(VLOOKUP($A14,'Species Library'!$A$6:$Z$150,COLUMN('Species Library'!K10),FALSE)), "",VLOOKUP($A14,'Species Library'!$A$6:$Z$150,COLUMN('Species Library'!K10),FALSE))</f>
        <v>0</v>
      </c>
      <c r="M14" s="30" t="str">
        <f t="shared" si="1"/>
        <v>pentane</v>
      </c>
      <c r="N14" s="30">
        <f>IF(ISNA(VLOOKUP($A14,'Species Library'!$A$6:$Z$150,COLUMN('Species Library'!L10),FALSE)), "",VLOOKUP($A14,'Species Library'!$A$6:$Z$150,COLUMN('Species Library'!L10),FALSE))</f>
        <v>469.7</v>
      </c>
      <c r="O14" s="30">
        <f>IF(ISNA(VLOOKUP($A14,'Species Library'!$A$6:$Z$150,COLUMN('Species Library'!M10),FALSE)), "",VLOOKUP($A14,'Species Library'!$A$6:$Z$150,COLUMN('Species Library'!M10),FALSE))</f>
        <v>3370000</v>
      </c>
      <c r="P14" s="30">
        <f>IF(ISNA(VLOOKUP($A14,'Species Library'!$A$6:$Z$150,COLUMN('Species Library'!N10),FALSE)), "",VLOOKUP($A14,'Species Library'!$A$6:$Z$150,COLUMN('Species Library'!N10),FALSE))</f>
        <v>0.252</v>
      </c>
      <c r="Q14" s="30" t="str">
        <f t="shared" si="2"/>
        <v>pentane</v>
      </c>
      <c r="R14" s="30">
        <f>IF(ISNA(VLOOKUP($A14,'Species Library'!$A$6:$Z$150,COLUMN('Species Library'!O10),FALSE)), "",VLOOKUP($A14,'Species Library'!$A$6:$Z$150,COLUMN('Species Library'!O10),FALSE))</f>
        <v>2.464</v>
      </c>
      <c r="S14" s="30">
        <f>IF(ISNA(VLOOKUP($A14,'Species Library'!$A$6:$Z$150,COLUMN('Species Library'!P10),FALSE)), "",VLOOKUP($A14,'Species Library'!$A$6:$Z$150,COLUMN('Species Library'!P10),FALSE))</f>
        <v>4.5351000000000002E-2</v>
      </c>
      <c r="T14" s="30">
        <f>IF(ISNA(VLOOKUP($A14,'Species Library'!$A$6:$Z$150,COLUMN('Species Library'!Q10),FALSE)), "",VLOOKUP($A14,'Species Library'!$A$6:$Z$150,COLUMN('Species Library'!Q10),FALSE))</f>
        <v>-1.4110999999999999E-5</v>
      </c>
      <c r="U14" s="30">
        <f>IF(ISNA(VLOOKUP($A14,'Species Library'!$A$6:$Z$150,COLUMN('Species Library'!R10),FALSE)), "",VLOOKUP($A14,'Species Library'!$A$6:$Z$150,COLUMN('Species Library'!R10),FALSE))</f>
        <v>0</v>
      </c>
      <c r="V14" s="30">
        <f>IF(ISNA(VLOOKUP($A14,'Species Library'!$A$6:$Z$150,COLUMN('Species Library'!S10),FALSE)), "",VLOOKUP($A14,'Species Library'!$A$6:$Z$150,COLUMN('Species Library'!S10),FALSE))</f>
        <v>298.14999999999998</v>
      </c>
      <c r="W14" s="30">
        <f>IF(ISNA(VLOOKUP($A14,'Species Library'!$A$6:$Z$150,COLUMN('Species Library'!T10),FALSE)), "",VLOOKUP($A14,'Species Library'!$A$6:$Z$150,COLUMN('Species Library'!T10),FALSE))</f>
        <v>1500</v>
      </c>
      <c r="X14" s="30" t="str">
        <f t="shared" si="3"/>
        <v>pentane</v>
      </c>
      <c r="Y14" s="30">
        <f>IF(ISNA(VLOOKUP($A14,'Species Library'!$A$6:$Z$150,COLUMN('Species Library'!U10),FALSE)), "",VLOOKUP($A14,'Species Library'!$A$6:$Z$150,COLUMN('Species Library'!U10),FALSE))</f>
        <v>20.109453930000001</v>
      </c>
      <c r="Z14" s="30">
        <f>IF(ISNA(VLOOKUP($A14,'Species Library'!$A$6:$Z$150,COLUMN('Species Library'!V10),FALSE)), "",VLOOKUP($A14,'Species Library'!$A$6:$Z$150,COLUMN('Species Library'!V10),FALSE))</f>
        <v>0</v>
      </c>
      <c r="AA14" s="30">
        <f>IF(ISNA(VLOOKUP($A14,'Species Library'!$A$6:$Z$150,COLUMN('Species Library'!W10),FALSE)), "",VLOOKUP($A14,'Species Library'!$A$6:$Z$150,COLUMN('Species Library'!W10),FALSE))</f>
        <v>0</v>
      </c>
      <c r="AB14" s="30">
        <f>IF(ISNA(VLOOKUP($A14,'Species Library'!$A$6:$Z$150,COLUMN('Species Library'!X10),FALSE)), "",VLOOKUP($A14,'Species Library'!$A$6:$Z$150,COLUMN('Species Library'!X10),FALSE))</f>
        <v>0</v>
      </c>
      <c r="AC14" s="30">
        <f>IF(ISNA(VLOOKUP($A14,'Species Library'!$A$6:$Z$150,COLUMN('Species Library'!Y10),FALSE)), "",VLOOKUP($A14,'Species Library'!$A$6:$Z$150,COLUMN('Species Library'!Y10),FALSE))</f>
        <v>273.14999999999998</v>
      </c>
      <c r="AD14" s="30">
        <f>IF(ISNA(VLOOKUP($A14,'Species Library'!$A$6:$Z$150,COLUMN('Species Library'!Z10),FALSE)), "",VLOOKUP($A14,'Species Library'!$A$6:$Z$150,COLUMN('Species Library'!Z10),FALSE))</f>
        <v>373.15</v>
      </c>
    </row>
    <row r="15" spans="1:30" x14ac:dyDescent="0.4">
      <c r="A15" t="s">
        <v>9</v>
      </c>
      <c r="B15" s="30">
        <f>IF(ISNA(VLOOKUP($A15,'Species Library'!$A$6:$Z$150,COLUMN('Species Library'!B11),FALSE)), "",VLOOKUP($A15,'Species Library'!$A$6:$Z$150,COLUMN('Species Library'!B11),FALSE))</f>
        <v>9.0354830201329399</v>
      </c>
      <c r="C15" s="30">
        <f>IF(ISNA(VLOOKUP($A15,'Species Library'!$A$6:$Z$150,COLUMN('Species Library'!C11),FALSE)), "",VLOOKUP($A15,'Species Library'!$A$6:$Z$150,COLUMN('Species Library'!C11),FALSE))</f>
        <v>1189.6400000000001</v>
      </c>
      <c r="D15" s="30">
        <f>IF(ISNA(VLOOKUP($A15,'Species Library'!$A$6:$Z$150,COLUMN('Species Library'!D11),FALSE)), "",VLOOKUP($A15,'Species Library'!$A$6:$Z$150,COLUMN('Species Library'!D11),FALSE))</f>
        <v>-46.87</v>
      </c>
      <c r="E15" s="30">
        <f>IF(ISNA(VLOOKUP($A15,'Species Library'!$A$6:$Z$150,COLUMN('Species Library'!E11),FALSE)), "",VLOOKUP($A15,'Species Library'!$A$6:$Z$150,COLUMN('Species Library'!E11),FALSE))</f>
        <v>243.14999999999998</v>
      </c>
      <c r="F15" s="30">
        <f>IF(ISNA(VLOOKUP($A15,'Species Library'!$A$6:$Z$150,COLUMN('Species Library'!F11),FALSE)), "",VLOOKUP($A15,'Species Library'!$A$6:$Z$150,COLUMN('Species Library'!F11),FALSE))</f>
        <v>443.15</v>
      </c>
      <c r="G15" s="30" t="str">
        <f t="shared" si="0"/>
        <v>hexane</v>
      </c>
      <c r="H15" s="30">
        <f>IF(ISNA(VLOOKUP($A15,'Species Library'!$A$6:$Z$150,COLUMN('Species Library'!G11),FALSE)), "",VLOOKUP($A15,'Species Library'!$A$6:$Z$150,COLUMN('Species Library'!G11),FALSE))</f>
        <v>-166920</v>
      </c>
      <c r="I15" s="30">
        <f>IF(ISNA(VLOOKUP($A15,'Species Library'!$A$6:$Z$150,COLUMN('Species Library'!H11),FALSE)), "",VLOOKUP($A15,'Species Library'!$A$6:$Z$150,COLUMN('Species Library'!H11),FALSE))</f>
        <v>298.14999999999998</v>
      </c>
      <c r="J15" s="30">
        <f>IF(ISNA(VLOOKUP($A15,'Species Library'!$A$6:$Z$150,COLUMN('Species Library'!I11),FALSE)), "",VLOOKUP($A15,'Species Library'!$A$6:$Z$150,COLUMN('Species Library'!I11),FALSE))</f>
        <v>28850</v>
      </c>
      <c r="K15" s="30">
        <f>IF(ISNA(VLOOKUP($A15,'Species Library'!$A$6:$Z$150,COLUMN('Species Library'!J11),FALSE)), "",VLOOKUP($A15,'Species Library'!$A$6:$Z$150,COLUMN('Species Library'!J11),FALSE))</f>
        <v>341.9</v>
      </c>
      <c r="L15" s="30">
        <f>IF(ISNA(VLOOKUP($A15,'Species Library'!$A$6:$Z$150,COLUMN('Species Library'!K11),FALSE)), "",VLOOKUP($A15,'Species Library'!$A$6:$Z$150,COLUMN('Species Library'!K11),FALSE))</f>
        <v>0</v>
      </c>
      <c r="M15" s="30" t="str">
        <f t="shared" si="1"/>
        <v>hexane</v>
      </c>
      <c r="N15" s="30">
        <f>IF(ISNA(VLOOKUP($A15,'Species Library'!$A$6:$Z$150,COLUMN('Species Library'!L11),FALSE)), "",VLOOKUP($A15,'Species Library'!$A$6:$Z$150,COLUMN('Species Library'!L11),FALSE))</f>
        <v>507.6</v>
      </c>
      <c r="O15" s="30">
        <f>IF(ISNA(VLOOKUP($A15,'Species Library'!$A$6:$Z$150,COLUMN('Species Library'!M11),FALSE)), "",VLOOKUP($A15,'Species Library'!$A$6:$Z$150,COLUMN('Species Library'!M11),FALSE))</f>
        <v>3025000</v>
      </c>
      <c r="P15" s="30">
        <f>IF(ISNA(VLOOKUP($A15,'Species Library'!$A$6:$Z$150,COLUMN('Species Library'!N11),FALSE)), "",VLOOKUP($A15,'Species Library'!$A$6:$Z$150,COLUMN('Species Library'!N11),FALSE))</f>
        <v>0.30099999999999999</v>
      </c>
      <c r="Q15" s="30" t="str">
        <f t="shared" si="2"/>
        <v>hexane</v>
      </c>
      <c r="R15" s="30">
        <f>IF(ISNA(VLOOKUP($A15,'Species Library'!$A$6:$Z$150,COLUMN('Species Library'!O11),FALSE)), "",VLOOKUP($A15,'Species Library'!$A$6:$Z$150,COLUMN('Species Library'!O11),FALSE))</f>
        <v>3.0249999999999999</v>
      </c>
      <c r="S15" s="30">
        <f>IF(ISNA(VLOOKUP($A15,'Species Library'!$A$6:$Z$150,COLUMN('Species Library'!P11),FALSE)), "",VLOOKUP($A15,'Species Library'!$A$6:$Z$150,COLUMN('Species Library'!P11),FALSE))</f>
        <v>5.3772E-2</v>
      </c>
      <c r="T15" s="30">
        <f>IF(ISNA(VLOOKUP($A15,'Species Library'!$A$6:$Z$150,COLUMN('Species Library'!Q11),FALSE)), "",VLOOKUP($A15,'Species Library'!$A$6:$Z$150,COLUMN('Species Library'!Q11),FALSE))</f>
        <v>-1.6790999999999999E-5</v>
      </c>
      <c r="U15" s="30">
        <f>IF(ISNA(VLOOKUP($A15,'Species Library'!$A$6:$Z$150,COLUMN('Species Library'!R11),FALSE)), "",VLOOKUP($A15,'Species Library'!$A$6:$Z$150,COLUMN('Species Library'!R11),FALSE))</f>
        <v>0</v>
      </c>
      <c r="V15" s="30">
        <f>IF(ISNA(VLOOKUP($A15,'Species Library'!$A$6:$Z$150,COLUMN('Species Library'!S11),FALSE)), "",VLOOKUP($A15,'Species Library'!$A$6:$Z$150,COLUMN('Species Library'!S11),FALSE))</f>
        <v>298.14999999999998</v>
      </c>
      <c r="W15" s="30">
        <f>IF(ISNA(VLOOKUP($A15,'Species Library'!$A$6:$Z$150,COLUMN('Species Library'!T11),FALSE)), "",VLOOKUP($A15,'Species Library'!$A$6:$Z$150,COLUMN('Species Library'!T11),FALSE))</f>
        <v>1500</v>
      </c>
      <c r="X15" s="30" t="str">
        <f t="shared" si="3"/>
        <v>hexane</v>
      </c>
      <c r="Y15" s="30">
        <f>IF(ISNA(VLOOKUP($A15,'Species Library'!$A$6:$Z$150,COLUMN('Species Library'!U11),FALSE)), "",VLOOKUP($A15,'Species Library'!$A$6:$Z$150,COLUMN('Species Library'!U11),FALSE))</f>
        <v>23.45080587</v>
      </c>
      <c r="Z15" s="30">
        <f>IF(ISNA(VLOOKUP($A15,'Species Library'!$A$6:$Z$150,COLUMN('Species Library'!V11),FALSE)), "",VLOOKUP($A15,'Species Library'!$A$6:$Z$150,COLUMN('Species Library'!V11),FALSE))</f>
        <v>0</v>
      </c>
      <c r="AA15" s="30">
        <f>IF(ISNA(VLOOKUP($A15,'Species Library'!$A$6:$Z$150,COLUMN('Species Library'!W11),FALSE)), "",VLOOKUP($A15,'Species Library'!$A$6:$Z$150,COLUMN('Species Library'!W11),FALSE))</f>
        <v>0</v>
      </c>
      <c r="AB15" s="30">
        <f>IF(ISNA(VLOOKUP($A15,'Species Library'!$A$6:$Z$150,COLUMN('Species Library'!X11),FALSE)), "",VLOOKUP($A15,'Species Library'!$A$6:$Z$150,COLUMN('Species Library'!X11),FALSE))</f>
        <v>0</v>
      </c>
      <c r="AC15" s="30">
        <f>IF(ISNA(VLOOKUP($A15,'Species Library'!$A$6:$Z$150,COLUMN('Species Library'!Y11),FALSE)), "",VLOOKUP($A15,'Species Library'!$A$6:$Z$150,COLUMN('Species Library'!Y11),FALSE))</f>
        <v>273.14999999999998</v>
      </c>
      <c r="AD15" s="30">
        <f>IF(ISNA(VLOOKUP($A15,'Species Library'!$A$6:$Z$150,COLUMN('Species Library'!Z11),FALSE)), "",VLOOKUP($A15,'Species Library'!$A$6:$Z$150,COLUMN('Species Library'!Z11),FALSE))</f>
        <v>373.15</v>
      </c>
    </row>
    <row r="16" spans="1:30" x14ac:dyDescent="0.4">
      <c r="A16" t="s">
        <v>10</v>
      </c>
      <c r="B16" s="30">
        <f>IF(ISNA(VLOOKUP($A16,'Species Library'!$A$6:$Z$150,COLUMN('Species Library'!B12),FALSE)), "",VLOOKUP($A16,'Species Library'!$A$6:$Z$150,COLUMN('Species Library'!B12),FALSE))</f>
        <v>8.9763630201329399</v>
      </c>
      <c r="C16" s="30">
        <f>IF(ISNA(VLOOKUP($A16,'Species Library'!$A$6:$Z$150,COLUMN('Species Library'!C12),FALSE)), "",VLOOKUP($A16,'Species Library'!$A$6:$Z$150,COLUMN('Species Library'!C12),FALSE))</f>
        <v>1206.47</v>
      </c>
      <c r="D16" s="30">
        <f>IF(ISNA(VLOOKUP($A16,'Species Library'!$A$6:$Z$150,COLUMN('Species Library'!D12),FALSE)), "",VLOOKUP($A16,'Species Library'!$A$6:$Z$150,COLUMN('Species Library'!D12),FALSE))</f>
        <v>-49.99</v>
      </c>
      <c r="E16" s="30">
        <f>IF(ISNA(VLOOKUP($A16,'Species Library'!$A$6:$Z$150,COLUMN('Species Library'!E12),FALSE)), "",VLOOKUP($A16,'Species Library'!$A$6:$Z$150,COLUMN('Species Library'!E12),FALSE))</f>
        <v>280.14999999999998</v>
      </c>
      <c r="F16" s="30">
        <f>IF(ISNA(VLOOKUP($A16,'Species Library'!$A$6:$Z$150,COLUMN('Species Library'!F12),FALSE)), "",VLOOKUP($A16,'Species Library'!$A$6:$Z$150,COLUMN('Species Library'!F12),FALSE))</f>
        <v>354.15</v>
      </c>
      <c r="G16" s="30" t="str">
        <f t="shared" si="0"/>
        <v>cyclohexane</v>
      </c>
      <c r="H16" s="30">
        <f>IF(ISNA(VLOOKUP($A16,'Species Library'!$A$6:$Z$150,COLUMN('Species Library'!G12),FALSE)), "",VLOOKUP($A16,'Species Library'!$A$6:$Z$150,COLUMN('Species Library'!G12),FALSE))</f>
        <v>-285830</v>
      </c>
      <c r="I16" s="30">
        <f>IF(ISNA(VLOOKUP($A16,'Species Library'!$A$6:$Z$150,COLUMN('Species Library'!H12),FALSE)), "",VLOOKUP($A16,'Species Library'!$A$6:$Z$150,COLUMN('Species Library'!H12),FALSE))</f>
        <v>298.14999999999998</v>
      </c>
      <c r="J16" s="30">
        <f>IF(ISNA(VLOOKUP($A16,'Species Library'!$A$6:$Z$150,COLUMN('Species Library'!I12),FALSE)), "",VLOOKUP($A16,'Species Library'!$A$6:$Z$150,COLUMN('Species Library'!I12),FALSE))</f>
        <v>29978</v>
      </c>
      <c r="K16" s="30">
        <f>IF(ISNA(VLOOKUP($A16,'Species Library'!$A$6:$Z$150,COLUMN('Species Library'!J12),FALSE)), "",VLOOKUP($A16,'Species Library'!$A$6:$Z$150,COLUMN('Species Library'!J12),FALSE))</f>
        <v>353.9</v>
      </c>
      <c r="L16" s="30">
        <f>IF(ISNA(VLOOKUP($A16,'Species Library'!$A$6:$Z$150,COLUMN('Species Library'!K12),FALSE)), "",VLOOKUP($A16,'Species Library'!$A$6:$Z$150,COLUMN('Species Library'!K12),FALSE))</f>
        <v>0</v>
      </c>
      <c r="M16" s="30" t="str">
        <f t="shared" si="1"/>
        <v>cyclohexane</v>
      </c>
      <c r="N16" s="30">
        <f>IF(ISNA(VLOOKUP($A16,'Species Library'!$A$6:$Z$150,COLUMN('Species Library'!L12),FALSE)), "",VLOOKUP($A16,'Species Library'!$A$6:$Z$150,COLUMN('Species Library'!L12),FALSE))</f>
        <v>553.6</v>
      </c>
      <c r="O16" s="30">
        <f>IF(ISNA(VLOOKUP($A16,'Species Library'!$A$6:$Z$150,COLUMN('Species Library'!M12),FALSE)), "",VLOOKUP($A16,'Species Library'!$A$6:$Z$150,COLUMN('Species Library'!M12),FALSE))</f>
        <v>4073000</v>
      </c>
      <c r="P16" s="30">
        <f>IF(ISNA(VLOOKUP($A16,'Species Library'!$A$6:$Z$150,COLUMN('Species Library'!N12),FALSE)), "",VLOOKUP($A16,'Species Library'!$A$6:$Z$150,COLUMN('Species Library'!N12),FALSE))</f>
        <v>0.21</v>
      </c>
      <c r="Q16" s="30" t="str">
        <f t="shared" si="2"/>
        <v>cyclohexane</v>
      </c>
      <c r="R16" s="30">
        <f>IF(ISNA(VLOOKUP($A16,'Species Library'!$A$6:$Z$150,COLUMN('Species Library'!O12),FALSE)), "",VLOOKUP($A16,'Species Library'!$A$6:$Z$150,COLUMN('Species Library'!O12),FALSE))</f>
        <v>-3.8759999999999999</v>
      </c>
      <c r="S16" s="30">
        <f>IF(ISNA(VLOOKUP($A16,'Species Library'!$A$6:$Z$150,COLUMN('Species Library'!P12),FALSE)), "",VLOOKUP($A16,'Species Library'!$A$6:$Z$150,COLUMN('Species Library'!P12),FALSE))</f>
        <v>6.3249E-2</v>
      </c>
      <c r="T16" s="30">
        <f>IF(ISNA(VLOOKUP($A16,'Species Library'!$A$6:$Z$150,COLUMN('Species Library'!Q12),FALSE)), "",VLOOKUP($A16,'Species Library'!$A$6:$Z$150,COLUMN('Species Library'!Q12),FALSE))</f>
        <v>-2.0928E-5</v>
      </c>
      <c r="U16" s="30">
        <f>IF(ISNA(VLOOKUP($A16,'Species Library'!$A$6:$Z$150,COLUMN('Species Library'!R12),FALSE)), "",VLOOKUP($A16,'Species Library'!$A$6:$Z$150,COLUMN('Species Library'!R12),FALSE))</f>
        <v>0</v>
      </c>
      <c r="V16" s="30">
        <f>IF(ISNA(VLOOKUP($A16,'Species Library'!$A$6:$Z$150,COLUMN('Species Library'!S12),FALSE)), "",VLOOKUP($A16,'Species Library'!$A$6:$Z$150,COLUMN('Species Library'!S12),FALSE))</f>
        <v>298.14999999999998</v>
      </c>
      <c r="W16" s="30">
        <f>IF(ISNA(VLOOKUP($A16,'Species Library'!$A$6:$Z$150,COLUMN('Species Library'!T12),FALSE)), "",VLOOKUP($A16,'Species Library'!$A$6:$Z$150,COLUMN('Species Library'!T12),FALSE))</f>
        <v>1500</v>
      </c>
      <c r="X16" s="30" t="str">
        <f t="shared" si="3"/>
        <v>cyclohexane</v>
      </c>
      <c r="Y16" s="30">
        <f>IF(ISNA(VLOOKUP($A16,'Species Library'!$A$6:$Z$150,COLUMN('Species Library'!U12),FALSE)), "",VLOOKUP($A16,'Species Library'!$A$6:$Z$150,COLUMN('Species Library'!U12),FALSE))</f>
        <v>-9.048</v>
      </c>
      <c r="Z16" s="30">
        <f>IF(ISNA(VLOOKUP($A16,'Species Library'!$A$6:$Z$150,COLUMN('Species Library'!V12),FALSE)), "",VLOOKUP($A16,'Species Library'!$A$6:$Z$150,COLUMN('Species Library'!V12),FALSE))</f>
        <v>0.14138000000000001</v>
      </c>
      <c r="AA16" s="30">
        <f>IF(ISNA(VLOOKUP($A16,'Species Library'!$A$6:$Z$150,COLUMN('Species Library'!W12),FALSE)), "",VLOOKUP($A16,'Species Library'!$A$6:$Z$150,COLUMN('Species Library'!W12),FALSE))</f>
        <v>-1.6161999999999999E-4</v>
      </c>
      <c r="AB16" s="30">
        <f>IF(ISNA(VLOOKUP($A16,'Species Library'!$A$6:$Z$150,COLUMN('Species Library'!X12),FALSE)), "",VLOOKUP($A16,'Species Library'!$A$6:$Z$150,COLUMN('Species Library'!X12),FALSE))</f>
        <v>0</v>
      </c>
      <c r="AC16" s="30">
        <f>IF(ISNA(VLOOKUP($A16,'Species Library'!$A$6:$Z$150,COLUMN('Species Library'!Y12),FALSE)), "",VLOOKUP($A16,'Species Library'!$A$6:$Z$150,COLUMN('Species Library'!Y12),FALSE))</f>
        <v>273.14999999999998</v>
      </c>
      <c r="AD16" s="30">
        <f>IF(ISNA(VLOOKUP($A16,'Species Library'!$A$6:$Z$150,COLUMN('Species Library'!Z12),FALSE)), "",VLOOKUP($A16,'Species Library'!$A$6:$Z$150,COLUMN('Species Library'!Z12),FALSE))</f>
        <v>373.15</v>
      </c>
    </row>
    <row r="17" spans="2:30" x14ac:dyDescent="0.4">
      <c r="B17" s="30" t="str">
        <f>IF(ISNA(VLOOKUP($A17,'Species Library'!$A$6:$Z$150,COLUMN('Species Library'!B13),FALSE)), "",VLOOKUP($A17,'Species Library'!$A$6:$Z$150,COLUMN('Species Library'!B13),FALSE))</f>
        <v/>
      </c>
      <c r="C17" s="30" t="str">
        <f>IF(ISNA(VLOOKUP($A17,'Species Library'!$A$6:$Z$150,COLUMN('Species Library'!C13),FALSE)), "",VLOOKUP($A17,'Species Library'!$A$6:$Z$150,COLUMN('Species Library'!C13),FALSE))</f>
        <v/>
      </c>
      <c r="D17" s="30" t="str">
        <f>IF(ISNA(VLOOKUP($A17,'Species Library'!$A$6:$Z$150,COLUMN('Species Library'!D13),FALSE)), "",VLOOKUP($A17,'Species Library'!$A$6:$Z$150,COLUMN('Species Library'!D13),FALSE))</f>
        <v/>
      </c>
      <c r="E17" s="30" t="str">
        <f>IF(ISNA(VLOOKUP($A17,'Species Library'!$A$6:$Z$150,COLUMN('Species Library'!E13),FALSE)), "",VLOOKUP($A17,'Species Library'!$A$6:$Z$150,COLUMN('Species Library'!E13),FALSE))</f>
        <v/>
      </c>
      <c r="F17" s="30" t="str">
        <f>IF(ISNA(VLOOKUP($A17,'Species Library'!$A$6:$Z$150,COLUMN('Species Library'!F13),FALSE)), "",VLOOKUP($A17,'Species Library'!$A$6:$Z$150,COLUMN('Species Library'!F13),FALSE))</f>
        <v/>
      </c>
      <c r="G17" s="30" t="str">
        <f t="shared" si="0"/>
        <v/>
      </c>
      <c r="H17" s="30" t="str">
        <f>IF(ISNA(VLOOKUP($A17,'Species Library'!$A$6:$Z$150,COLUMN('Species Library'!G13),FALSE)), "",VLOOKUP($A17,'Species Library'!$A$6:$Z$150,COLUMN('Species Library'!G13),FALSE))</f>
        <v/>
      </c>
      <c r="I17" s="30" t="str">
        <f>IF(ISNA(VLOOKUP($A17,'Species Library'!$A$6:$Z$150,COLUMN('Species Library'!H13),FALSE)), "",VLOOKUP($A17,'Species Library'!$A$6:$Z$150,COLUMN('Species Library'!H13),FALSE))</f>
        <v/>
      </c>
      <c r="J17" s="30" t="str">
        <f>IF(ISNA(VLOOKUP($A17,'Species Library'!$A$6:$Z$150,COLUMN('Species Library'!I13),FALSE)), "",VLOOKUP($A17,'Species Library'!$A$6:$Z$150,COLUMN('Species Library'!I13),FALSE))</f>
        <v/>
      </c>
      <c r="K17" s="30" t="str">
        <f>IF(ISNA(VLOOKUP($A17,'Species Library'!$A$6:$Z$150,COLUMN('Species Library'!J13),FALSE)), "",VLOOKUP($A17,'Species Library'!$A$6:$Z$150,COLUMN('Species Library'!J13),FALSE))</f>
        <v/>
      </c>
      <c r="L17" s="30" t="str">
        <f>IF(ISNA(VLOOKUP($A17,'Species Library'!$A$6:$Z$150,COLUMN('Species Library'!K13),FALSE)), "",VLOOKUP($A17,'Species Library'!$A$6:$Z$150,COLUMN('Species Library'!K13),FALSE))</f>
        <v/>
      </c>
      <c r="M17" s="30" t="str">
        <f t="shared" si="1"/>
        <v/>
      </c>
      <c r="N17" s="30" t="str">
        <f>IF(ISNA(VLOOKUP($A17,'Species Library'!$A$6:$Z$150,COLUMN('Species Library'!L13),FALSE)), "",VLOOKUP($A17,'Species Library'!$A$6:$Z$150,COLUMN('Species Library'!L13),FALSE))</f>
        <v/>
      </c>
      <c r="O17" s="30" t="str">
        <f>IF(ISNA(VLOOKUP($A17,'Species Library'!$A$6:$Z$150,COLUMN('Species Library'!M13),FALSE)), "",VLOOKUP($A17,'Species Library'!$A$6:$Z$150,COLUMN('Species Library'!M13),FALSE))</f>
        <v/>
      </c>
      <c r="P17" s="30" t="str">
        <f>IF(ISNA(VLOOKUP($A17,'Species Library'!$A$6:$Z$150,COLUMN('Species Library'!N13),FALSE)), "",VLOOKUP($A17,'Species Library'!$A$6:$Z$150,COLUMN('Species Library'!N13),FALSE))</f>
        <v/>
      </c>
      <c r="Q17" s="30" t="str">
        <f t="shared" si="2"/>
        <v/>
      </c>
      <c r="R17" s="30" t="str">
        <f>IF(ISNA(VLOOKUP($A17,'Species Library'!$A$6:$Z$150,COLUMN('Species Library'!O13),FALSE)), "",VLOOKUP($A17,'Species Library'!$A$6:$Z$150,COLUMN('Species Library'!O13),FALSE))</f>
        <v/>
      </c>
      <c r="S17" s="30" t="str">
        <f>IF(ISNA(VLOOKUP($A17,'Species Library'!$A$6:$Z$150,COLUMN('Species Library'!P13),FALSE)), "",VLOOKUP($A17,'Species Library'!$A$6:$Z$150,COLUMN('Species Library'!P13),FALSE))</f>
        <v/>
      </c>
      <c r="T17" s="30" t="str">
        <f>IF(ISNA(VLOOKUP($A17,'Species Library'!$A$6:$Z$150,COLUMN('Species Library'!Q13),FALSE)), "",VLOOKUP($A17,'Species Library'!$A$6:$Z$150,COLUMN('Species Library'!Q13),FALSE))</f>
        <v/>
      </c>
      <c r="U17" s="30" t="str">
        <f>IF(ISNA(VLOOKUP($A17,'Species Library'!$A$6:$Z$150,COLUMN('Species Library'!R13),FALSE)), "",VLOOKUP($A17,'Species Library'!$A$6:$Z$150,COLUMN('Species Library'!R13),FALSE))</f>
        <v/>
      </c>
      <c r="V17" s="30" t="str">
        <f>IF(ISNA(VLOOKUP($A17,'Species Library'!$A$6:$Z$150,COLUMN('Species Library'!S13),FALSE)), "",VLOOKUP($A17,'Species Library'!$A$6:$Z$150,COLUMN('Species Library'!S13),FALSE))</f>
        <v/>
      </c>
      <c r="W17" s="30" t="str">
        <f>IF(ISNA(VLOOKUP($A17,'Species Library'!$A$6:$Z$150,COLUMN('Species Library'!T13),FALSE)), "",VLOOKUP($A17,'Species Library'!$A$6:$Z$150,COLUMN('Species Library'!T13),FALSE))</f>
        <v/>
      </c>
      <c r="X17" s="30" t="str">
        <f t="shared" si="3"/>
        <v/>
      </c>
      <c r="Y17" s="30" t="str">
        <f>IF(ISNA(VLOOKUP($A17,'Species Library'!$A$6:$Z$150,COLUMN('Species Library'!U13),FALSE)), "",VLOOKUP($A17,'Species Library'!$A$6:$Z$150,COLUMN('Species Library'!U13),FALSE))</f>
        <v/>
      </c>
      <c r="Z17" s="30" t="str">
        <f>IF(ISNA(VLOOKUP($A17,'Species Library'!$A$6:$Z$150,COLUMN('Species Library'!V13),FALSE)), "",VLOOKUP($A17,'Species Library'!$A$6:$Z$150,COLUMN('Species Library'!V13),FALSE))</f>
        <v/>
      </c>
      <c r="AA17" s="30" t="str">
        <f>IF(ISNA(VLOOKUP($A17,'Species Library'!$A$6:$Z$150,COLUMN('Species Library'!W13),FALSE)), "",VLOOKUP($A17,'Species Library'!$A$6:$Z$150,COLUMN('Species Library'!W13),FALSE))</f>
        <v/>
      </c>
      <c r="AB17" s="30" t="str">
        <f>IF(ISNA(VLOOKUP($A17,'Species Library'!$A$6:$Z$150,COLUMN('Species Library'!X13),FALSE)), "",VLOOKUP($A17,'Species Library'!$A$6:$Z$150,COLUMN('Species Library'!X13),FALSE))</f>
        <v/>
      </c>
      <c r="AC17" s="30" t="str">
        <f>IF(ISNA(VLOOKUP($A17,'Species Library'!$A$6:$Z$150,COLUMN('Species Library'!Y13),FALSE)), "",VLOOKUP($A17,'Species Library'!$A$6:$Z$150,COLUMN('Species Library'!Y13),FALSE))</f>
        <v/>
      </c>
      <c r="AD17" s="30" t="str">
        <f>IF(ISNA(VLOOKUP($A17,'Species Library'!$A$6:$Z$150,COLUMN('Species Library'!Z13),FALSE)), "",VLOOKUP($A17,'Species Library'!$A$6:$Z$150,COLUMN('Species Library'!Z13),FALSE))</f>
        <v/>
      </c>
    </row>
    <row r="18" spans="2:30" x14ac:dyDescent="0.4">
      <c r="B18" s="30" t="str">
        <f>IF(ISNA(VLOOKUP($A18,'Species Library'!$A$6:$Z$150,COLUMN('Species Library'!B14),FALSE)), "",VLOOKUP($A18,'Species Library'!$A$6:$Z$150,COLUMN('Species Library'!B14),FALSE))</f>
        <v/>
      </c>
      <c r="C18" s="30" t="str">
        <f>IF(ISNA(VLOOKUP($A18,'Species Library'!$A$6:$Z$150,COLUMN('Species Library'!C14),FALSE)), "",VLOOKUP($A18,'Species Library'!$A$6:$Z$150,COLUMN('Species Library'!C14),FALSE))</f>
        <v/>
      </c>
      <c r="D18" s="30" t="str">
        <f>IF(ISNA(VLOOKUP($A18,'Species Library'!$A$6:$Z$150,COLUMN('Species Library'!D14),FALSE)), "",VLOOKUP($A18,'Species Library'!$A$6:$Z$150,COLUMN('Species Library'!D14),FALSE))</f>
        <v/>
      </c>
      <c r="E18" s="30" t="str">
        <f>IF(ISNA(VLOOKUP($A18,'Species Library'!$A$6:$Z$150,COLUMN('Species Library'!E14),FALSE)), "",VLOOKUP($A18,'Species Library'!$A$6:$Z$150,COLUMN('Species Library'!E14),FALSE))</f>
        <v/>
      </c>
      <c r="F18" s="30" t="str">
        <f>IF(ISNA(VLOOKUP($A18,'Species Library'!$A$6:$Z$150,COLUMN('Species Library'!F14),FALSE)), "",VLOOKUP($A18,'Species Library'!$A$6:$Z$150,COLUMN('Species Library'!F14),FALSE))</f>
        <v/>
      </c>
      <c r="G18" s="30" t="str">
        <f t="shared" si="0"/>
        <v/>
      </c>
      <c r="H18" s="30" t="str">
        <f>IF(ISNA(VLOOKUP($A18,'Species Library'!$A$6:$Z$150,COLUMN('Species Library'!G14),FALSE)), "",VLOOKUP($A18,'Species Library'!$A$6:$Z$150,COLUMN('Species Library'!G14),FALSE))</f>
        <v/>
      </c>
      <c r="I18" s="30" t="str">
        <f>IF(ISNA(VLOOKUP($A18,'Species Library'!$A$6:$Z$150,COLUMN('Species Library'!H14),FALSE)), "",VLOOKUP($A18,'Species Library'!$A$6:$Z$150,COLUMN('Species Library'!H14),FALSE))</f>
        <v/>
      </c>
      <c r="J18" s="30" t="str">
        <f>IF(ISNA(VLOOKUP($A18,'Species Library'!$A$6:$Z$150,COLUMN('Species Library'!I14),FALSE)), "",VLOOKUP($A18,'Species Library'!$A$6:$Z$150,COLUMN('Species Library'!I14),FALSE))</f>
        <v/>
      </c>
      <c r="K18" s="30" t="str">
        <f>IF(ISNA(VLOOKUP($A18,'Species Library'!$A$6:$Z$150,COLUMN('Species Library'!J14),FALSE)), "",VLOOKUP($A18,'Species Library'!$A$6:$Z$150,COLUMN('Species Library'!J14),FALSE))</f>
        <v/>
      </c>
      <c r="L18" s="30" t="str">
        <f>IF(ISNA(VLOOKUP($A18,'Species Library'!$A$6:$Z$150,COLUMN('Species Library'!K14),FALSE)), "",VLOOKUP($A18,'Species Library'!$A$6:$Z$150,COLUMN('Species Library'!K14),FALSE))</f>
        <v/>
      </c>
      <c r="M18" s="30" t="str">
        <f t="shared" si="1"/>
        <v/>
      </c>
      <c r="N18" s="30" t="str">
        <f>IF(ISNA(VLOOKUP($A18,'Species Library'!$A$6:$Z$150,COLUMN('Species Library'!L14),FALSE)), "",VLOOKUP($A18,'Species Library'!$A$6:$Z$150,COLUMN('Species Library'!L14),FALSE))</f>
        <v/>
      </c>
      <c r="O18" s="30" t="str">
        <f>IF(ISNA(VLOOKUP($A18,'Species Library'!$A$6:$Z$150,COLUMN('Species Library'!M14),FALSE)), "",VLOOKUP($A18,'Species Library'!$A$6:$Z$150,COLUMN('Species Library'!M14),FALSE))</f>
        <v/>
      </c>
      <c r="P18" s="30" t="str">
        <f>IF(ISNA(VLOOKUP($A18,'Species Library'!$A$6:$Z$150,COLUMN('Species Library'!N14),FALSE)), "",VLOOKUP($A18,'Species Library'!$A$6:$Z$150,COLUMN('Species Library'!N14),FALSE))</f>
        <v/>
      </c>
      <c r="Q18" s="30" t="str">
        <f t="shared" si="2"/>
        <v/>
      </c>
      <c r="R18" s="30" t="str">
        <f>IF(ISNA(VLOOKUP($A18,'Species Library'!$A$6:$Z$150,COLUMN('Species Library'!O14),FALSE)), "",VLOOKUP($A18,'Species Library'!$A$6:$Z$150,COLUMN('Species Library'!O14),FALSE))</f>
        <v/>
      </c>
      <c r="S18" s="30" t="str">
        <f>IF(ISNA(VLOOKUP($A18,'Species Library'!$A$6:$Z$150,COLUMN('Species Library'!P14),FALSE)), "",VLOOKUP($A18,'Species Library'!$A$6:$Z$150,COLUMN('Species Library'!P14),FALSE))</f>
        <v/>
      </c>
      <c r="T18" s="30" t="str">
        <f>IF(ISNA(VLOOKUP($A18,'Species Library'!$A$6:$Z$150,COLUMN('Species Library'!Q14),FALSE)), "",VLOOKUP($A18,'Species Library'!$A$6:$Z$150,COLUMN('Species Library'!Q14),FALSE))</f>
        <v/>
      </c>
      <c r="U18" s="30" t="str">
        <f>IF(ISNA(VLOOKUP($A18,'Species Library'!$A$6:$Z$150,COLUMN('Species Library'!R14),FALSE)), "",VLOOKUP($A18,'Species Library'!$A$6:$Z$150,COLUMN('Species Library'!R14),FALSE))</f>
        <v/>
      </c>
      <c r="V18" s="30" t="str">
        <f>IF(ISNA(VLOOKUP($A18,'Species Library'!$A$6:$Z$150,COLUMN('Species Library'!S14),FALSE)), "",VLOOKUP($A18,'Species Library'!$A$6:$Z$150,COLUMN('Species Library'!S14),FALSE))</f>
        <v/>
      </c>
      <c r="W18" s="30" t="str">
        <f>IF(ISNA(VLOOKUP($A18,'Species Library'!$A$6:$Z$150,COLUMN('Species Library'!T14),FALSE)), "",VLOOKUP($A18,'Species Library'!$A$6:$Z$150,COLUMN('Species Library'!T14),FALSE))</f>
        <v/>
      </c>
      <c r="X18" s="30" t="str">
        <f t="shared" si="3"/>
        <v/>
      </c>
      <c r="Y18" s="30" t="str">
        <f>IF(ISNA(VLOOKUP($A18,'Species Library'!$A$6:$Z$150,COLUMN('Species Library'!U14),FALSE)), "",VLOOKUP($A18,'Species Library'!$A$6:$Z$150,COLUMN('Species Library'!U14),FALSE))</f>
        <v/>
      </c>
      <c r="Z18" s="30" t="str">
        <f>IF(ISNA(VLOOKUP($A18,'Species Library'!$A$6:$Z$150,COLUMN('Species Library'!V14),FALSE)), "",VLOOKUP($A18,'Species Library'!$A$6:$Z$150,COLUMN('Species Library'!V14),FALSE))</f>
        <v/>
      </c>
      <c r="AA18" s="30" t="str">
        <f>IF(ISNA(VLOOKUP($A18,'Species Library'!$A$6:$Z$150,COLUMN('Species Library'!W14),FALSE)), "",VLOOKUP($A18,'Species Library'!$A$6:$Z$150,COLUMN('Species Library'!W14),FALSE))</f>
        <v/>
      </c>
      <c r="AB18" s="30" t="str">
        <f>IF(ISNA(VLOOKUP($A18,'Species Library'!$A$6:$Z$150,COLUMN('Species Library'!X14),FALSE)), "",VLOOKUP($A18,'Species Library'!$A$6:$Z$150,COLUMN('Species Library'!X14),FALSE))</f>
        <v/>
      </c>
      <c r="AC18" s="30" t="str">
        <f>IF(ISNA(VLOOKUP($A18,'Species Library'!$A$6:$Z$150,COLUMN('Species Library'!Y14),FALSE)), "",VLOOKUP($A18,'Species Library'!$A$6:$Z$150,COLUMN('Species Library'!Y14),FALSE))</f>
        <v/>
      </c>
      <c r="AD18" s="30" t="str">
        <f>IF(ISNA(VLOOKUP($A18,'Species Library'!$A$6:$Z$150,COLUMN('Species Library'!Z14),FALSE)), "",VLOOKUP($A18,'Species Library'!$A$6:$Z$150,COLUMN('Species Library'!Z14),FALSE))</f>
        <v/>
      </c>
    </row>
    <row r="19" spans="2:30" x14ac:dyDescent="0.4">
      <c r="B19" s="30" t="str">
        <f>IF(ISNA(VLOOKUP($A19,'Species Library'!$A$6:$Z$150,COLUMN('Species Library'!B15),FALSE)), "",VLOOKUP($A19,'Species Library'!$A$6:$Z$150,COLUMN('Species Library'!B15),FALSE))</f>
        <v/>
      </c>
      <c r="C19" s="30" t="str">
        <f>IF(ISNA(VLOOKUP($A19,'Species Library'!$A$6:$Z$150,COLUMN('Species Library'!C15),FALSE)), "",VLOOKUP($A19,'Species Library'!$A$6:$Z$150,COLUMN('Species Library'!C15),FALSE))</f>
        <v/>
      </c>
      <c r="D19" s="30" t="str">
        <f>IF(ISNA(VLOOKUP($A19,'Species Library'!$A$6:$Z$150,COLUMN('Species Library'!D15),FALSE)), "",VLOOKUP($A19,'Species Library'!$A$6:$Z$150,COLUMN('Species Library'!D15),FALSE))</f>
        <v/>
      </c>
      <c r="E19" s="30" t="str">
        <f>IF(ISNA(VLOOKUP($A19,'Species Library'!$A$6:$Z$150,COLUMN('Species Library'!E15),FALSE)), "",VLOOKUP($A19,'Species Library'!$A$6:$Z$150,COLUMN('Species Library'!E15),FALSE))</f>
        <v/>
      </c>
      <c r="F19" s="30" t="str">
        <f>IF(ISNA(VLOOKUP($A19,'Species Library'!$A$6:$Z$150,COLUMN('Species Library'!F15),FALSE)), "",VLOOKUP($A19,'Species Library'!$A$6:$Z$150,COLUMN('Species Library'!F15),FALSE))</f>
        <v/>
      </c>
      <c r="G19" s="30" t="str">
        <f t="shared" si="0"/>
        <v/>
      </c>
      <c r="H19" s="30" t="str">
        <f>IF(ISNA(VLOOKUP($A19,'Species Library'!$A$6:$Z$150,COLUMN('Species Library'!G15),FALSE)), "",VLOOKUP($A19,'Species Library'!$A$6:$Z$150,COLUMN('Species Library'!G15),FALSE))</f>
        <v/>
      </c>
      <c r="I19" s="30" t="str">
        <f>IF(ISNA(VLOOKUP($A19,'Species Library'!$A$6:$Z$150,COLUMN('Species Library'!H15),FALSE)), "",VLOOKUP($A19,'Species Library'!$A$6:$Z$150,COLUMN('Species Library'!H15),FALSE))</f>
        <v/>
      </c>
      <c r="J19" s="30" t="str">
        <f>IF(ISNA(VLOOKUP($A19,'Species Library'!$A$6:$Z$150,COLUMN('Species Library'!I15),FALSE)), "",VLOOKUP($A19,'Species Library'!$A$6:$Z$150,COLUMN('Species Library'!I15),FALSE))</f>
        <v/>
      </c>
      <c r="K19" s="30" t="str">
        <f>IF(ISNA(VLOOKUP($A19,'Species Library'!$A$6:$Z$150,COLUMN('Species Library'!J15),FALSE)), "",VLOOKUP($A19,'Species Library'!$A$6:$Z$150,COLUMN('Species Library'!J15),FALSE))</f>
        <v/>
      </c>
      <c r="L19" s="30" t="str">
        <f>IF(ISNA(VLOOKUP($A19,'Species Library'!$A$6:$Z$150,COLUMN('Species Library'!K15),FALSE)), "",VLOOKUP($A19,'Species Library'!$A$6:$Z$150,COLUMN('Species Library'!K15),FALSE))</f>
        <v/>
      </c>
      <c r="M19" s="30" t="str">
        <f t="shared" si="1"/>
        <v/>
      </c>
      <c r="N19" s="30" t="str">
        <f>IF(ISNA(VLOOKUP($A19,'Species Library'!$A$6:$Z$150,COLUMN('Species Library'!L15),FALSE)), "",VLOOKUP($A19,'Species Library'!$A$6:$Z$150,COLUMN('Species Library'!L15),FALSE))</f>
        <v/>
      </c>
      <c r="O19" s="30" t="str">
        <f>IF(ISNA(VLOOKUP($A19,'Species Library'!$A$6:$Z$150,COLUMN('Species Library'!M15),FALSE)), "",VLOOKUP($A19,'Species Library'!$A$6:$Z$150,COLUMN('Species Library'!M15),FALSE))</f>
        <v/>
      </c>
      <c r="P19" s="30" t="str">
        <f>IF(ISNA(VLOOKUP($A19,'Species Library'!$A$6:$Z$150,COLUMN('Species Library'!N15),FALSE)), "",VLOOKUP($A19,'Species Library'!$A$6:$Z$150,COLUMN('Species Library'!N15),FALSE))</f>
        <v/>
      </c>
      <c r="Q19" s="30" t="str">
        <f t="shared" si="2"/>
        <v/>
      </c>
      <c r="R19" s="30" t="str">
        <f>IF(ISNA(VLOOKUP($A19,'Species Library'!$A$6:$Z$150,COLUMN('Species Library'!O15),FALSE)), "",VLOOKUP($A19,'Species Library'!$A$6:$Z$150,COLUMN('Species Library'!O15),FALSE))</f>
        <v/>
      </c>
      <c r="S19" s="30" t="str">
        <f>IF(ISNA(VLOOKUP($A19,'Species Library'!$A$6:$Z$150,COLUMN('Species Library'!P15),FALSE)), "",VLOOKUP($A19,'Species Library'!$A$6:$Z$150,COLUMN('Species Library'!P15),FALSE))</f>
        <v/>
      </c>
      <c r="T19" s="30" t="str">
        <f>IF(ISNA(VLOOKUP($A19,'Species Library'!$A$6:$Z$150,COLUMN('Species Library'!Q15),FALSE)), "",VLOOKUP($A19,'Species Library'!$A$6:$Z$150,COLUMN('Species Library'!Q15),FALSE))</f>
        <v/>
      </c>
      <c r="U19" s="30" t="str">
        <f>IF(ISNA(VLOOKUP($A19,'Species Library'!$A$6:$Z$150,COLUMN('Species Library'!R15),FALSE)), "",VLOOKUP($A19,'Species Library'!$A$6:$Z$150,COLUMN('Species Library'!R15),FALSE))</f>
        <v/>
      </c>
      <c r="V19" s="30" t="str">
        <f>IF(ISNA(VLOOKUP($A19,'Species Library'!$A$6:$Z$150,COLUMN('Species Library'!S15),FALSE)), "",VLOOKUP($A19,'Species Library'!$A$6:$Z$150,COLUMN('Species Library'!S15),FALSE))</f>
        <v/>
      </c>
      <c r="W19" s="30" t="str">
        <f>IF(ISNA(VLOOKUP($A19,'Species Library'!$A$6:$Z$150,COLUMN('Species Library'!T15),FALSE)), "",VLOOKUP($A19,'Species Library'!$A$6:$Z$150,COLUMN('Species Library'!T15),FALSE))</f>
        <v/>
      </c>
      <c r="X19" s="30" t="str">
        <f t="shared" si="3"/>
        <v/>
      </c>
      <c r="Y19" s="30" t="str">
        <f>IF(ISNA(VLOOKUP($A19,'Species Library'!$A$6:$Z$150,COLUMN('Species Library'!U15),FALSE)), "",VLOOKUP($A19,'Species Library'!$A$6:$Z$150,COLUMN('Species Library'!U15),FALSE))</f>
        <v/>
      </c>
      <c r="Z19" s="30" t="str">
        <f>IF(ISNA(VLOOKUP($A19,'Species Library'!$A$6:$Z$150,COLUMN('Species Library'!V15),FALSE)), "",VLOOKUP($A19,'Species Library'!$A$6:$Z$150,COLUMN('Species Library'!V15),FALSE))</f>
        <v/>
      </c>
      <c r="AA19" s="30" t="str">
        <f>IF(ISNA(VLOOKUP($A19,'Species Library'!$A$6:$Z$150,COLUMN('Species Library'!W15),FALSE)), "",VLOOKUP($A19,'Species Library'!$A$6:$Z$150,COLUMN('Species Library'!W15),FALSE))</f>
        <v/>
      </c>
      <c r="AB19" s="30" t="str">
        <f>IF(ISNA(VLOOKUP($A19,'Species Library'!$A$6:$Z$150,COLUMN('Species Library'!X15),FALSE)), "",VLOOKUP($A19,'Species Library'!$A$6:$Z$150,COLUMN('Species Library'!X15),FALSE))</f>
        <v/>
      </c>
      <c r="AC19" s="30" t="str">
        <f>IF(ISNA(VLOOKUP($A19,'Species Library'!$A$6:$Z$150,COLUMN('Species Library'!Y15),FALSE)), "",VLOOKUP($A19,'Species Library'!$A$6:$Z$150,COLUMN('Species Library'!Y15),FALSE))</f>
        <v/>
      </c>
      <c r="AD19" s="30" t="str">
        <f>IF(ISNA(VLOOKUP($A19,'Species Library'!$A$6:$Z$150,COLUMN('Species Library'!Z15),FALSE)), "",VLOOKUP($A19,'Species Library'!$A$6:$Z$150,COLUMN('Species Library'!Z15),FALSE))</f>
        <v/>
      </c>
    </row>
    <row r="20" spans="2:30" x14ac:dyDescent="0.4">
      <c r="B20" s="30" t="str">
        <f>IF(ISNA(VLOOKUP($A20,'Species Library'!$A$6:$Z$150,COLUMN('Species Library'!B16),FALSE)), "",VLOOKUP($A20,'Species Library'!$A$6:$Z$150,COLUMN('Species Library'!B16),FALSE))</f>
        <v/>
      </c>
      <c r="C20" s="30" t="str">
        <f>IF(ISNA(VLOOKUP($A20,'Species Library'!$A$6:$Z$150,COLUMN('Species Library'!C16),FALSE)), "",VLOOKUP($A20,'Species Library'!$A$6:$Z$150,COLUMN('Species Library'!C16),FALSE))</f>
        <v/>
      </c>
      <c r="D20" s="30" t="str">
        <f>IF(ISNA(VLOOKUP($A20,'Species Library'!$A$6:$Z$150,COLUMN('Species Library'!D16),FALSE)), "",VLOOKUP($A20,'Species Library'!$A$6:$Z$150,COLUMN('Species Library'!D16),FALSE))</f>
        <v/>
      </c>
      <c r="E20" s="30" t="str">
        <f>IF(ISNA(VLOOKUP($A20,'Species Library'!$A$6:$Z$150,COLUMN('Species Library'!E16),FALSE)), "",VLOOKUP($A20,'Species Library'!$A$6:$Z$150,COLUMN('Species Library'!E16),FALSE))</f>
        <v/>
      </c>
      <c r="F20" s="30" t="str">
        <f>IF(ISNA(VLOOKUP($A20,'Species Library'!$A$6:$Z$150,COLUMN('Species Library'!F16),FALSE)), "",VLOOKUP($A20,'Species Library'!$A$6:$Z$150,COLUMN('Species Library'!F16),FALSE))</f>
        <v/>
      </c>
      <c r="G20" s="30" t="str">
        <f t="shared" si="0"/>
        <v/>
      </c>
      <c r="H20" s="30" t="str">
        <f>IF(ISNA(VLOOKUP($A20,'Species Library'!$A$6:$Z$150,COLUMN('Species Library'!G16),FALSE)), "",VLOOKUP($A20,'Species Library'!$A$6:$Z$150,COLUMN('Species Library'!G16),FALSE))</f>
        <v/>
      </c>
      <c r="I20" s="30" t="str">
        <f>IF(ISNA(VLOOKUP($A20,'Species Library'!$A$6:$Z$150,COLUMN('Species Library'!H16),FALSE)), "",VLOOKUP($A20,'Species Library'!$A$6:$Z$150,COLUMN('Species Library'!H16),FALSE))</f>
        <v/>
      </c>
      <c r="J20" s="30" t="str">
        <f>IF(ISNA(VLOOKUP($A20,'Species Library'!$A$6:$Z$150,COLUMN('Species Library'!I16),FALSE)), "",VLOOKUP($A20,'Species Library'!$A$6:$Z$150,COLUMN('Species Library'!I16),FALSE))</f>
        <v/>
      </c>
      <c r="K20" s="30" t="str">
        <f>IF(ISNA(VLOOKUP($A20,'Species Library'!$A$6:$Z$150,COLUMN('Species Library'!J16),FALSE)), "",VLOOKUP($A20,'Species Library'!$A$6:$Z$150,COLUMN('Species Library'!J16),FALSE))</f>
        <v/>
      </c>
      <c r="L20" s="30" t="str">
        <f>IF(ISNA(VLOOKUP($A20,'Species Library'!$A$6:$Z$150,COLUMN('Species Library'!K16),FALSE)), "",VLOOKUP($A20,'Species Library'!$A$6:$Z$150,COLUMN('Species Library'!K16),FALSE))</f>
        <v/>
      </c>
      <c r="M20" s="30" t="str">
        <f t="shared" si="1"/>
        <v/>
      </c>
      <c r="N20" s="30" t="str">
        <f>IF(ISNA(VLOOKUP($A20,'Species Library'!$A$6:$Z$150,COLUMN('Species Library'!L16),FALSE)), "",VLOOKUP($A20,'Species Library'!$A$6:$Z$150,COLUMN('Species Library'!L16),FALSE))</f>
        <v/>
      </c>
      <c r="O20" s="30" t="str">
        <f>IF(ISNA(VLOOKUP($A20,'Species Library'!$A$6:$Z$150,COLUMN('Species Library'!M16),FALSE)), "",VLOOKUP($A20,'Species Library'!$A$6:$Z$150,COLUMN('Species Library'!M16),FALSE))</f>
        <v/>
      </c>
      <c r="P20" s="30" t="str">
        <f>IF(ISNA(VLOOKUP($A20,'Species Library'!$A$6:$Z$150,COLUMN('Species Library'!N16),FALSE)), "",VLOOKUP($A20,'Species Library'!$A$6:$Z$150,COLUMN('Species Library'!N16),FALSE))</f>
        <v/>
      </c>
      <c r="Q20" s="30" t="str">
        <f t="shared" si="2"/>
        <v/>
      </c>
      <c r="R20" s="30" t="str">
        <f>IF(ISNA(VLOOKUP($A20,'Species Library'!$A$6:$Z$150,COLUMN('Species Library'!O16),FALSE)), "",VLOOKUP($A20,'Species Library'!$A$6:$Z$150,COLUMN('Species Library'!O16),FALSE))</f>
        <v/>
      </c>
      <c r="S20" s="30" t="str">
        <f>IF(ISNA(VLOOKUP($A20,'Species Library'!$A$6:$Z$150,COLUMN('Species Library'!P16),FALSE)), "",VLOOKUP($A20,'Species Library'!$A$6:$Z$150,COLUMN('Species Library'!P16),FALSE))</f>
        <v/>
      </c>
      <c r="T20" s="30" t="str">
        <f>IF(ISNA(VLOOKUP($A20,'Species Library'!$A$6:$Z$150,COLUMN('Species Library'!Q16),FALSE)), "",VLOOKUP($A20,'Species Library'!$A$6:$Z$150,COLUMN('Species Library'!Q16),FALSE))</f>
        <v/>
      </c>
      <c r="U20" s="30" t="str">
        <f>IF(ISNA(VLOOKUP($A20,'Species Library'!$A$6:$Z$150,COLUMN('Species Library'!R16),FALSE)), "",VLOOKUP($A20,'Species Library'!$A$6:$Z$150,COLUMN('Species Library'!R16),FALSE))</f>
        <v/>
      </c>
      <c r="V20" s="30" t="str">
        <f>IF(ISNA(VLOOKUP($A20,'Species Library'!$A$6:$Z$150,COLUMN('Species Library'!S16),FALSE)), "",VLOOKUP($A20,'Species Library'!$A$6:$Z$150,COLUMN('Species Library'!S16),FALSE))</f>
        <v/>
      </c>
      <c r="W20" s="30" t="str">
        <f>IF(ISNA(VLOOKUP($A20,'Species Library'!$A$6:$Z$150,COLUMN('Species Library'!T16),FALSE)), "",VLOOKUP($A20,'Species Library'!$A$6:$Z$150,COLUMN('Species Library'!T16),FALSE))</f>
        <v/>
      </c>
      <c r="X20" s="30" t="str">
        <f t="shared" si="3"/>
        <v/>
      </c>
      <c r="Y20" s="30" t="str">
        <f>IF(ISNA(VLOOKUP($A20,'Species Library'!$A$6:$Z$150,COLUMN('Species Library'!U16),FALSE)), "",VLOOKUP($A20,'Species Library'!$A$6:$Z$150,COLUMN('Species Library'!U16),FALSE))</f>
        <v/>
      </c>
      <c r="Z20" s="30" t="str">
        <f>IF(ISNA(VLOOKUP($A20,'Species Library'!$A$6:$Z$150,COLUMN('Species Library'!V16),FALSE)), "",VLOOKUP($A20,'Species Library'!$A$6:$Z$150,COLUMN('Species Library'!V16),FALSE))</f>
        <v/>
      </c>
      <c r="AA20" s="30" t="str">
        <f>IF(ISNA(VLOOKUP($A20,'Species Library'!$A$6:$Z$150,COLUMN('Species Library'!W16),FALSE)), "",VLOOKUP($A20,'Species Library'!$A$6:$Z$150,COLUMN('Species Library'!W16),FALSE))</f>
        <v/>
      </c>
      <c r="AB20" s="30" t="str">
        <f>IF(ISNA(VLOOKUP($A20,'Species Library'!$A$6:$Z$150,COLUMN('Species Library'!X16),FALSE)), "",VLOOKUP($A20,'Species Library'!$A$6:$Z$150,COLUMN('Species Library'!X16),FALSE))</f>
        <v/>
      </c>
      <c r="AC20" s="30" t="str">
        <f>IF(ISNA(VLOOKUP($A20,'Species Library'!$A$6:$Z$150,COLUMN('Species Library'!Y16),FALSE)), "",VLOOKUP($A20,'Species Library'!$A$6:$Z$150,COLUMN('Species Library'!Y16),FALSE))</f>
        <v/>
      </c>
      <c r="AD20" s="30" t="str">
        <f>IF(ISNA(VLOOKUP($A20,'Species Library'!$A$6:$Z$150,COLUMN('Species Library'!Z16),FALSE)), "",VLOOKUP($A20,'Species Library'!$A$6:$Z$150,COLUMN('Species Library'!Z16),FALSE))</f>
        <v/>
      </c>
    </row>
    <row r="21" spans="2:30" x14ac:dyDescent="0.4">
      <c r="B21" s="30" t="str">
        <f>IF(ISNA(VLOOKUP($A21,'Species Library'!$A$6:$Z$150,COLUMN('Species Library'!B17),FALSE)), "",VLOOKUP($A21,'Species Library'!$A$6:$Z$150,COLUMN('Species Library'!B17),FALSE))</f>
        <v/>
      </c>
      <c r="C21" s="30" t="str">
        <f>IF(ISNA(VLOOKUP($A21,'Species Library'!$A$6:$Z$150,COLUMN('Species Library'!C17),FALSE)), "",VLOOKUP($A21,'Species Library'!$A$6:$Z$150,COLUMN('Species Library'!C17),FALSE))</f>
        <v/>
      </c>
      <c r="D21" s="30" t="str">
        <f>IF(ISNA(VLOOKUP($A21,'Species Library'!$A$6:$Z$150,COLUMN('Species Library'!D17),FALSE)), "",VLOOKUP($A21,'Species Library'!$A$6:$Z$150,COLUMN('Species Library'!D17),FALSE))</f>
        <v/>
      </c>
      <c r="E21" s="30" t="str">
        <f>IF(ISNA(VLOOKUP($A21,'Species Library'!$A$6:$Z$150,COLUMN('Species Library'!E17),FALSE)), "",VLOOKUP($A21,'Species Library'!$A$6:$Z$150,COLUMN('Species Library'!E17),FALSE))</f>
        <v/>
      </c>
      <c r="F21" s="30" t="str">
        <f>IF(ISNA(VLOOKUP($A21,'Species Library'!$A$6:$Z$150,COLUMN('Species Library'!F17),FALSE)), "",VLOOKUP($A21,'Species Library'!$A$6:$Z$150,COLUMN('Species Library'!F17),FALSE))</f>
        <v/>
      </c>
      <c r="G21" s="30" t="str">
        <f t="shared" si="0"/>
        <v/>
      </c>
      <c r="H21" s="30" t="str">
        <f>IF(ISNA(VLOOKUP($A21,'Species Library'!$A$6:$Z$150,COLUMN('Species Library'!G17),FALSE)), "",VLOOKUP($A21,'Species Library'!$A$6:$Z$150,COLUMN('Species Library'!G17),FALSE))</f>
        <v/>
      </c>
      <c r="I21" s="30" t="str">
        <f>IF(ISNA(VLOOKUP($A21,'Species Library'!$A$6:$Z$150,COLUMN('Species Library'!H17),FALSE)), "",VLOOKUP($A21,'Species Library'!$A$6:$Z$150,COLUMN('Species Library'!H17),FALSE))</f>
        <v/>
      </c>
      <c r="J21" s="30" t="str">
        <f>IF(ISNA(VLOOKUP($A21,'Species Library'!$A$6:$Z$150,COLUMN('Species Library'!I17),FALSE)), "",VLOOKUP($A21,'Species Library'!$A$6:$Z$150,COLUMN('Species Library'!I17),FALSE))</f>
        <v/>
      </c>
      <c r="K21" s="30" t="str">
        <f>IF(ISNA(VLOOKUP($A21,'Species Library'!$A$6:$Z$150,COLUMN('Species Library'!J17),FALSE)), "",VLOOKUP($A21,'Species Library'!$A$6:$Z$150,COLUMN('Species Library'!J17),FALSE))</f>
        <v/>
      </c>
      <c r="L21" s="30" t="str">
        <f>IF(ISNA(VLOOKUP($A21,'Species Library'!$A$6:$Z$150,COLUMN('Species Library'!K17),FALSE)), "",VLOOKUP($A21,'Species Library'!$A$6:$Z$150,COLUMN('Species Library'!K17),FALSE))</f>
        <v/>
      </c>
      <c r="M21" s="30" t="str">
        <f t="shared" si="1"/>
        <v/>
      </c>
      <c r="N21" s="30" t="str">
        <f>IF(ISNA(VLOOKUP($A21,'Species Library'!$A$6:$Z$150,COLUMN('Species Library'!L17),FALSE)), "",VLOOKUP($A21,'Species Library'!$A$6:$Z$150,COLUMN('Species Library'!L17),FALSE))</f>
        <v/>
      </c>
      <c r="O21" s="30" t="str">
        <f>IF(ISNA(VLOOKUP($A21,'Species Library'!$A$6:$Z$150,COLUMN('Species Library'!M17),FALSE)), "",VLOOKUP($A21,'Species Library'!$A$6:$Z$150,COLUMN('Species Library'!M17),FALSE))</f>
        <v/>
      </c>
      <c r="P21" s="30" t="str">
        <f>IF(ISNA(VLOOKUP($A21,'Species Library'!$A$6:$Z$150,COLUMN('Species Library'!N17),FALSE)), "",VLOOKUP($A21,'Species Library'!$A$6:$Z$150,COLUMN('Species Library'!N17),FALSE))</f>
        <v/>
      </c>
      <c r="Q21" s="30" t="str">
        <f t="shared" si="2"/>
        <v/>
      </c>
      <c r="R21" s="30" t="str">
        <f>IF(ISNA(VLOOKUP($A21,'Species Library'!$A$6:$Z$150,COLUMN('Species Library'!O17),FALSE)), "",VLOOKUP($A21,'Species Library'!$A$6:$Z$150,COLUMN('Species Library'!O17),FALSE))</f>
        <v/>
      </c>
      <c r="S21" s="30" t="str">
        <f>IF(ISNA(VLOOKUP($A21,'Species Library'!$A$6:$Z$150,COLUMN('Species Library'!P17),FALSE)), "",VLOOKUP($A21,'Species Library'!$A$6:$Z$150,COLUMN('Species Library'!P17),FALSE))</f>
        <v/>
      </c>
      <c r="T21" s="30" t="str">
        <f>IF(ISNA(VLOOKUP($A21,'Species Library'!$A$6:$Z$150,COLUMN('Species Library'!Q17),FALSE)), "",VLOOKUP($A21,'Species Library'!$A$6:$Z$150,COLUMN('Species Library'!Q17),FALSE))</f>
        <v/>
      </c>
      <c r="U21" s="30" t="str">
        <f>IF(ISNA(VLOOKUP($A21,'Species Library'!$A$6:$Z$150,COLUMN('Species Library'!R17),FALSE)), "",VLOOKUP($A21,'Species Library'!$A$6:$Z$150,COLUMN('Species Library'!R17),FALSE))</f>
        <v/>
      </c>
      <c r="V21" s="30" t="str">
        <f>IF(ISNA(VLOOKUP($A21,'Species Library'!$A$6:$Z$150,COLUMN('Species Library'!S17),FALSE)), "",VLOOKUP($A21,'Species Library'!$A$6:$Z$150,COLUMN('Species Library'!S17),FALSE))</f>
        <v/>
      </c>
      <c r="W21" s="30" t="str">
        <f>IF(ISNA(VLOOKUP($A21,'Species Library'!$A$6:$Z$150,COLUMN('Species Library'!T17),FALSE)), "",VLOOKUP($A21,'Species Library'!$A$6:$Z$150,COLUMN('Species Library'!T17),FALSE))</f>
        <v/>
      </c>
      <c r="X21" s="30" t="str">
        <f t="shared" si="3"/>
        <v/>
      </c>
      <c r="Y21" s="30" t="str">
        <f>IF(ISNA(VLOOKUP($A21,'Species Library'!$A$6:$Z$150,COLUMN('Species Library'!U17),FALSE)), "",VLOOKUP($A21,'Species Library'!$A$6:$Z$150,COLUMN('Species Library'!U17),FALSE))</f>
        <v/>
      </c>
      <c r="Z21" s="30" t="str">
        <f>IF(ISNA(VLOOKUP($A21,'Species Library'!$A$6:$Z$150,COLUMN('Species Library'!V17),FALSE)), "",VLOOKUP($A21,'Species Library'!$A$6:$Z$150,COLUMN('Species Library'!V17),FALSE))</f>
        <v/>
      </c>
      <c r="AA21" s="30" t="str">
        <f>IF(ISNA(VLOOKUP($A21,'Species Library'!$A$6:$Z$150,COLUMN('Species Library'!W17),FALSE)), "",VLOOKUP($A21,'Species Library'!$A$6:$Z$150,COLUMN('Species Library'!W17),FALSE))</f>
        <v/>
      </c>
      <c r="AB21" s="30" t="str">
        <f>IF(ISNA(VLOOKUP($A21,'Species Library'!$A$6:$Z$150,COLUMN('Species Library'!X17),FALSE)), "",VLOOKUP($A21,'Species Library'!$A$6:$Z$150,COLUMN('Species Library'!X17),FALSE))</f>
        <v/>
      </c>
      <c r="AC21" s="30" t="str">
        <f>IF(ISNA(VLOOKUP($A21,'Species Library'!$A$6:$Z$150,COLUMN('Species Library'!Y17),FALSE)), "",VLOOKUP($A21,'Species Library'!$A$6:$Z$150,COLUMN('Species Library'!Y17),FALSE))</f>
        <v/>
      </c>
      <c r="AD21" s="30" t="str">
        <f>IF(ISNA(VLOOKUP($A21,'Species Library'!$A$6:$Z$150,COLUMN('Species Library'!Z17),FALSE)), "",VLOOKUP($A21,'Species Library'!$A$6:$Z$150,COLUMN('Species Library'!Z17),FALSE))</f>
        <v/>
      </c>
    </row>
    <row r="22" spans="2:30" x14ac:dyDescent="0.4">
      <c r="B22" s="30" t="str">
        <f>IF(ISNA(VLOOKUP($A22,'Species Library'!$A$6:$Z$150,COLUMN('Species Library'!B18),FALSE)), "",VLOOKUP($A22,'Species Library'!$A$6:$Z$150,COLUMN('Species Library'!B18),FALSE))</f>
        <v/>
      </c>
      <c r="C22" s="30" t="str">
        <f>IF(ISNA(VLOOKUP($A22,'Species Library'!$A$6:$Z$150,COLUMN('Species Library'!C18),FALSE)), "",VLOOKUP($A22,'Species Library'!$A$6:$Z$150,COLUMN('Species Library'!C18),FALSE))</f>
        <v/>
      </c>
      <c r="D22" s="30" t="str">
        <f>IF(ISNA(VLOOKUP($A22,'Species Library'!$A$6:$Z$150,COLUMN('Species Library'!D18),FALSE)), "",VLOOKUP($A22,'Species Library'!$A$6:$Z$150,COLUMN('Species Library'!D18),FALSE))</f>
        <v/>
      </c>
      <c r="E22" s="30" t="str">
        <f>IF(ISNA(VLOOKUP($A22,'Species Library'!$A$6:$Z$150,COLUMN('Species Library'!E18),FALSE)), "",VLOOKUP($A22,'Species Library'!$A$6:$Z$150,COLUMN('Species Library'!E18),FALSE))</f>
        <v/>
      </c>
      <c r="F22" s="30" t="str">
        <f>IF(ISNA(VLOOKUP($A22,'Species Library'!$A$6:$Z$150,COLUMN('Species Library'!F18),FALSE)), "",VLOOKUP($A22,'Species Library'!$A$6:$Z$150,COLUMN('Species Library'!F18),FALSE))</f>
        <v/>
      </c>
      <c r="G22" s="30" t="str">
        <f t="shared" si="0"/>
        <v/>
      </c>
      <c r="H22" s="30" t="str">
        <f>IF(ISNA(VLOOKUP($A22,'Species Library'!$A$6:$Z$150,COLUMN('Species Library'!G18),FALSE)), "",VLOOKUP($A22,'Species Library'!$A$6:$Z$150,COLUMN('Species Library'!G18),FALSE))</f>
        <v/>
      </c>
      <c r="I22" s="30" t="str">
        <f>IF(ISNA(VLOOKUP($A22,'Species Library'!$A$6:$Z$150,COLUMN('Species Library'!H18),FALSE)), "",VLOOKUP($A22,'Species Library'!$A$6:$Z$150,COLUMN('Species Library'!H18),FALSE))</f>
        <v/>
      </c>
      <c r="J22" s="30" t="str">
        <f>IF(ISNA(VLOOKUP($A22,'Species Library'!$A$6:$Z$150,COLUMN('Species Library'!I18),FALSE)), "",VLOOKUP($A22,'Species Library'!$A$6:$Z$150,COLUMN('Species Library'!I18),FALSE))</f>
        <v/>
      </c>
      <c r="K22" s="30" t="str">
        <f>IF(ISNA(VLOOKUP($A22,'Species Library'!$A$6:$Z$150,COLUMN('Species Library'!J18),FALSE)), "",VLOOKUP($A22,'Species Library'!$A$6:$Z$150,COLUMN('Species Library'!J18),FALSE))</f>
        <v/>
      </c>
      <c r="L22" s="30" t="str">
        <f>IF(ISNA(VLOOKUP($A22,'Species Library'!$A$6:$Z$150,COLUMN('Species Library'!K18),FALSE)), "",VLOOKUP($A22,'Species Library'!$A$6:$Z$150,COLUMN('Species Library'!K18),FALSE))</f>
        <v/>
      </c>
      <c r="M22" s="30" t="str">
        <f t="shared" si="1"/>
        <v/>
      </c>
      <c r="N22" s="30" t="str">
        <f>IF(ISNA(VLOOKUP($A22,'Species Library'!$A$6:$Z$150,COLUMN('Species Library'!L18),FALSE)), "",VLOOKUP($A22,'Species Library'!$A$6:$Z$150,COLUMN('Species Library'!L18),FALSE))</f>
        <v/>
      </c>
      <c r="O22" s="30" t="str">
        <f>IF(ISNA(VLOOKUP($A22,'Species Library'!$A$6:$Z$150,COLUMN('Species Library'!M18),FALSE)), "",VLOOKUP($A22,'Species Library'!$A$6:$Z$150,COLUMN('Species Library'!M18),FALSE))</f>
        <v/>
      </c>
      <c r="P22" s="30" t="str">
        <f>IF(ISNA(VLOOKUP($A22,'Species Library'!$A$6:$Z$150,COLUMN('Species Library'!N18),FALSE)), "",VLOOKUP($A22,'Species Library'!$A$6:$Z$150,COLUMN('Species Library'!N18),FALSE))</f>
        <v/>
      </c>
      <c r="Q22" s="30" t="str">
        <f t="shared" si="2"/>
        <v/>
      </c>
      <c r="R22" s="30" t="str">
        <f>IF(ISNA(VLOOKUP($A22,'Species Library'!$A$6:$Z$150,COLUMN('Species Library'!O18),FALSE)), "",VLOOKUP($A22,'Species Library'!$A$6:$Z$150,COLUMN('Species Library'!O18),FALSE))</f>
        <v/>
      </c>
      <c r="S22" s="30" t="str">
        <f>IF(ISNA(VLOOKUP($A22,'Species Library'!$A$6:$Z$150,COLUMN('Species Library'!P18),FALSE)), "",VLOOKUP($A22,'Species Library'!$A$6:$Z$150,COLUMN('Species Library'!P18),FALSE))</f>
        <v/>
      </c>
      <c r="T22" s="30" t="str">
        <f>IF(ISNA(VLOOKUP($A22,'Species Library'!$A$6:$Z$150,COLUMN('Species Library'!Q18),FALSE)), "",VLOOKUP($A22,'Species Library'!$A$6:$Z$150,COLUMN('Species Library'!Q18),FALSE))</f>
        <v/>
      </c>
      <c r="U22" s="30" t="str">
        <f>IF(ISNA(VLOOKUP($A22,'Species Library'!$A$6:$Z$150,COLUMN('Species Library'!R18),FALSE)), "",VLOOKUP($A22,'Species Library'!$A$6:$Z$150,COLUMN('Species Library'!R18),FALSE))</f>
        <v/>
      </c>
      <c r="V22" s="30" t="str">
        <f>IF(ISNA(VLOOKUP($A22,'Species Library'!$A$6:$Z$150,COLUMN('Species Library'!S18),FALSE)), "",VLOOKUP($A22,'Species Library'!$A$6:$Z$150,COLUMN('Species Library'!S18),FALSE))</f>
        <v/>
      </c>
      <c r="W22" s="30" t="str">
        <f>IF(ISNA(VLOOKUP($A22,'Species Library'!$A$6:$Z$150,COLUMN('Species Library'!T18),FALSE)), "",VLOOKUP($A22,'Species Library'!$A$6:$Z$150,COLUMN('Species Library'!T18),FALSE))</f>
        <v/>
      </c>
      <c r="X22" s="30" t="str">
        <f t="shared" si="3"/>
        <v/>
      </c>
      <c r="Y22" s="30" t="str">
        <f>IF(ISNA(VLOOKUP($A22,'Species Library'!$A$6:$Z$150,COLUMN('Species Library'!U18),FALSE)), "",VLOOKUP($A22,'Species Library'!$A$6:$Z$150,COLUMN('Species Library'!U18),FALSE))</f>
        <v/>
      </c>
      <c r="Z22" s="30" t="str">
        <f>IF(ISNA(VLOOKUP($A22,'Species Library'!$A$6:$Z$150,COLUMN('Species Library'!V18),FALSE)), "",VLOOKUP($A22,'Species Library'!$A$6:$Z$150,COLUMN('Species Library'!V18),FALSE))</f>
        <v/>
      </c>
      <c r="AA22" s="30" t="str">
        <f>IF(ISNA(VLOOKUP($A22,'Species Library'!$A$6:$Z$150,COLUMN('Species Library'!W18),FALSE)), "",VLOOKUP($A22,'Species Library'!$A$6:$Z$150,COLUMN('Species Library'!W18),FALSE))</f>
        <v/>
      </c>
      <c r="AB22" s="30" t="str">
        <f>IF(ISNA(VLOOKUP($A22,'Species Library'!$A$6:$Z$150,COLUMN('Species Library'!X18),FALSE)), "",VLOOKUP($A22,'Species Library'!$A$6:$Z$150,COLUMN('Species Library'!X18),FALSE))</f>
        <v/>
      </c>
      <c r="AC22" s="30" t="str">
        <f>IF(ISNA(VLOOKUP($A22,'Species Library'!$A$6:$Z$150,COLUMN('Species Library'!Y18),FALSE)), "",VLOOKUP($A22,'Species Library'!$A$6:$Z$150,COLUMN('Species Library'!Y18),FALSE))</f>
        <v/>
      </c>
      <c r="AD22" s="30" t="str">
        <f>IF(ISNA(VLOOKUP($A22,'Species Library'!$A$6:$Z$150,COLUMN('Species Library'!Z18),FALSE)), "",VLOOKUP($A22,'Species Library'!$A$6:$Z$150,COLUMN('Species Library'!Z18),FALSE))</f>
        <v/>
      </c>
    </row>
    <row r="23" spans="2:30" x14ac:dyDescent="0.4">
      <c r="B23" s="30" t="str">
        <f>IF(ISNA(VLOOKUP($A23,'Species Library'!$A$6:$Z$150,COLUMN('Species Library'!B19),FALSE)), "",VLOOKUP($A23,'Species Library'!$A$6:$Z$150,COLUMN('Species Library'!B19),FALSE))</f>
        <v/>
      </c>
      <c r="C23" s="30" t="str">
        <f>IF(ISNA(VLOOKUP($A23,'Species Library'!$A$6:$Z$150,COLUMN('Species Library'!C19),FALSE)), "",VLOOKUP($A23,'Species Library'!$A$6:$Z$150,COLUMN('Species Library'!C19),FALSE))</f>
        <v/>
      </c>
      <c r="D23" s="30" t="str">
        <f>IF(ISNA(VLOOKUP($A23,'Species Library'!$A$6:$Z$150,COLUMN('Species Library'!D19),FALSE)), "",VLOOKUP($A23,'Species Library'!$A$6:$Z$150,COLUMN('Species Library'!D19),FALSE))</f>
        <v/>
      </c>
      <c r="E23" s="30" t="str">
        <f>IF(ISNA(VLOOKUP($A23,'Species Library'!$A$6:$Z$150,COLUMN('Species Library'!E19),FALSE)), "",VLOOKUP($A23,'Species Library'!$A$6:$Z$150,COLUMN('Species Library'!E19),FALSE))</f>
        <v/>
      </c>
      <c r="F23" s="30" t="str">
        <f>IF(ISNA(VLOOKUP($A23,'Species Library'!$A$6:$Z$150,COLUMN('Species Library'!F19),FALSE)), "",VLOOKUP($A23,'Species Library'!$A$6:$Z$150,COLUMN('Species Library'!F19),FALSE))</f>
        <v/>
      </c>
      <c r="G23" s="30" t="str">
        <f t="shared" si="0"/>
        <v/>
      </c>
      <c r="H23" s="30" t="str">
        <f>IF(ISNA(VLOOKUP($A23,'Species Library'!$A$6:$Z$150,COLUMN('Species Library'!G19),FALSE)), "",VLOOKUP($A23,'Species Library'!$A$6:$Z$150,COLUMN('Species Library'!G19),FALSE))</f>
        <v/>
      </c>
      <c r="I23" s="30" t="str">
        <f>IF(ISNA(VLOOKUP($A23,'Species Library'!$A$6:$Z$150,COLUMN('Species Library'!H19),FALSE)), "",VLOOKUP($A23,'Species Library'!$A$6:$Z$150,COLUMN('Species Library'!H19),FALSE))</f>
        <v/>
      </c>
      <c r="J23" s="30" t="str">
        <f>IF(ISNA(VLOOKUP($A23,'Species Library'!$A$6:$Z$150,COLUMN('Species Library'!I19),FALSE)), "",VLOOKUP($A23,'Species Library'!$A$6:$Z$150,COLUMN('Species Library'!I19),FALSE))</f>
        <v/>
      </c>
      <c r="K23" s="30" t="str">
        <f>IF(ISNA(VLOOKUP($A23,'Species Library'!$A$6:$Z$150,COLUMN('Species Library'!J19),FALSE)), "",VLOOKUP($A23,'Species Library'!$A$6:$Z$150,COLUMN('Species Library'!J19),FALSE))</f>
        <v/>
      </c>
      <c r="L23" s="30" t="str">
        <f>IF(ISNA(VLOOKUP($A23,'Species Library'!$A$6:$Z$150,COLUMN('Species Library'!K19),FALSE)), "",VLOOKUP($A23,'Species Library'!$A$6:$Z$150,COLUMN('Species Library'!K19),FALSE))</f>
        <v/>
      </c>
      <c r="M23" s="30" t="str">
        <f t="shared" si="1"/>
        <v/>
      </c>
      <c r="N23" s="30" t="str">
        <f>IF(ISNA(VLOOKUP($A23,'Species Library'!$A$6:$Z$150,COLUMN('Species Library'!L19),FALSE)), "",VLOOKUP($A23,'Species Library'!$A$6:$Z$150,COLUMN('Species Library'!L19),FALSE))</f>
        <v/>
      </c>
      <c r="O23" s="30" t="str">
        <f>IF(ISNA(VLOOKUP($A23,'Species Library'!$A$6:$Z$150,COLUMN('Species Library'!M19),FALSE)), "",VLOOKUP($A23,'Species Library'!$A$6:$Z$150,COLUMN('Species Library'!M19),FALSE))</f>
        <v/>
      </c>
      <c r="P23" s="30" t="str">
        <f>IF(ISNA(VLOOKUP($A23,'Species Library'!$A$6:$Z$150,COLUMN('Species Library'!N19),FALSE)), "",VLOOKUP($A23,'Species Library'!$A$6:$Z$150,COLUMN('Species Library'!N19),FALSE))</f>
        <v/>
      </c>
      <c r="Q23" s="30" t="str">
        <f t="shared" si="2"/>
        <v/>
      </c>
      <c r="R23" s="30" t="str">
        <f>IF(ISNA(VLOOKUP($A23,'Species Library'!$A$6:$Z$150,COLUMN('Species Library'!O19),FALSE)), "",VLOOKUP($A23,'Species Library'!$A$6:$Z$150,COLUMN('Species Library'!O19),FALSE))</f>
        <v/>
      </c>
      <c r="S23" s="30" t="str">
        <f>IF(ISNA(VLOOKUP($A23,'Species Library'!$A$6:$Z$150,COLUMN('Species Library'!P19),FALSE)), "",VLOOKUP($A23,'Species Library'!$A$6:$Z$150,COLUMN('Species Library'!P19),FALSE))</f>
        <v/>
      </c>
      <c r="T23" s="30" t="str">
        <f>IF(ISNA(VLOOKUP($A23,'Species Library'!$A$6:$Z$150,COLUMN('Species Library'!Q19),FALSE)), "",VLOOKUP($A23,'Species Library'!$A$6:$Z$150,COLUMN('Species Library'!Q19),FALSE))</f>
        <v/>
      </c>
      <c r="U23" s="30" t="str">
        <f>IF(ISNA(VLOOKUP($A23,'Species Library'!$A$6:$Z$150,COLUMN('Species Library'!R19),FALSE)), "",VLOOKUP($A23,'Species Library'!$A$6:$Z$150,COLUMN('Species Library'!R19),FALSE))</f>
        <v/>
      </c>
      <c r="V23" s="30" t="str">
        <f>IF(ISNA(VLOOKUP($A23,'Species Library'!$A$6:$Z$150,COLUMN('Species Library'!S19),FALSE)), "",VLOOKUP($A23,'Species Library'!$A$6:$Z$150,COLUMN('Species Library'!S19),FALSE))</f>
        <v/>
      </c>
      <c r="W23" s="30" t="str">
        <f>IF(ISNA(VLOOKUP($A23,'Species Library'!$A$6:$Z$150,COLUMN('Species Library'!T19),FALSE)), "",VLOOKUP($A23,'Species Library'!$A$6:$Z$150,COLUMN('Species Library'!T19),FALSE))</f>
        <v/>
      </c>
      <c r="X23" s="30" t="str">
        <f t="shared" si="3"/>
        <v/>
      </c>
      <c r="Y23" s="30" t="str">
        <f>IF(ISNA(VLOOKUP($A23,'Species Library'!$A$6:$Z$150,COLUMN('Species Library'!U19),FALSE)), "",VLOOKUP($A23,'Species Library'!$A$6:$Z$150,COLUMN('Species Library'!U19),FALSE))</f>
        <v/>
      </c>
      <c r="Z23" s="30" t="str">
        <f>IF(ISNA(VLOOKUP($A23,'Species Library'!$A$6:$Z$150,COLUMN('Species Library'!V19),FALSE)), "",VLOOKUP($A23,'Species Library'!$A$6:$Z$150,COLUMN('Species Library'!V19),FALSE))</f>
        <v/>
      </c>
      <c r="AA23" s="30" t="str">
        <f>IF(ISNA(VLOOKUP($A23,'Species Library'!$A$6:$Z$150,COLUMN('Species Library'!W19),FALSE)), "",VLOOKUP($A23,'Species Library'!$A$6:$Z$150,COLUMN('Species Library'!W19),FALSE))</f>
        <v/>
      </c>
      <c r="AB23" s="30" t="str">
        <f>IF(ISNA(VLOOKUP($A23,'Species Library'!$A$6:$Z$150,COLUMN('Species Library'!X19),FALSE)), "",VLOOKUP($A23,'Species Library'!$A$6:$Z$150,COLUMN('Species Library'!X19),FALSE))</f>
        <v/>
      </c>
      <c r="AC23" s="30" t="str">
        <f>IF(ISNA(VLOOKUP($A23,'Species Library'!$A$6:$Z$150,COLUMN('Species Library'!Y19),FALSE)), "",VLOOKUP($A23,'Species Library'!$A$6:$Z$150,COLUMN('Species Library'!Y19),FALSE))</f>
        <v/>
      </c>
      <c r="AD23" s="30" t="str">
        <f>IF(ISNA(VLOOKUP($A23,'Species Library'!$A$6:$Z$150,COLUMN('Species Library'!Z19),FALSE)), "",VLOOKUP($A23,'Species Library'!$A$6:$Z$150,COLUMN('Species Library'!Z19),FALSE))</f>
        <v/>
      </c>
    </row>
    <row r="24" spans="2:30" x14ac:dyDescent="0.4">
      <c r="B24" s="30" t="str">
        <f>IF(ISNA(VLOOKUP($A24,'Species Library'!$A$6:$Z$150,COLUMN('Species Library'!B20),FALSE)), "",VLOOKUP($A24,'Species Library'!$A$6:$Z$150,COLUMN('Species Library'!B20),FALSE))</f>
        <v/>
      </c>
      <c r="C24" s="30" t="str">
        <f>IF(ISNA(VLOOKUP($A24,'Species Library'!$A$6:$Z$150,COLUMN('Species Library'!C20),FALSE)), "",VLOOKUP($A24,'Species Library'!$A$6:$Z$150,COLUMN('Species Library'!C20),FALSE))</f>
        <v/>
      </c>
      <c r="D24" s="30" t="str">
        <f>IF(ISNA(VLOOKUP($A24,'Species Library'!$A$6:$Z$150,COLUMN('Species Library'!D20),FALSE)), "",VLOOKUP($A24,'Species Library'!$A$6:$Z$150,COLUMN('Species Library'!D20),FALSE))</f>
        <v/>
      </c>
      <c r="E24" s="30" t="str">
        <f>IF(ISNA(VLOOKUP($A24,'Species Library'!$A$6:$Z$150,COLUMN('Species Library'!E20),FALSE)), "",VLOOKUP($A24,'Species Library'!$A$6:$Z$150,COLUMN('Species Library'!E20),FALSE))</f>
        <v/>
      </c>
      <c r="F24" s="30" t="str">
        <f>IF(ISNA(VLOOKUP($A24,'Species Library'!$A$6:$Z$150,COLUMN('Species Library'!F20),FALSE)), "",VLOOKUP($A24,'Species Library'!$A$6:$Z$150,COLUMN('Species Library'!F20),FALSE))</f>
        <v/>
      </c>
      <c r="G24" s="30" t="str">
        <f t="shared" si="0"/>
        <v/>
      </c>
      <c r="H24" s="30" t="str">
        <f>IF(ISNA(VLOOKUP($A24,'Species Library'!$A$6:$Z$150,COLUMN('Species Library'!G20),FALSE)), "",VLOOKUP($A24,'Species Library'!$A$6:$Z$150,COLUMN('Species Library'!G20),FALSE))</f>
        <v/>
      </c>
      <c r="I24" s="30" t="str">
        <f>IF(ISNA(VLOOKUP($A24,'Species Library'!$A$6:$Z$150,COLUMN('Species Library'!H20),FALSE)), "",VLOOKUP($A24,'Species Library'!$A$6:$Z$150,COLUMN('Species Library'!H20),FALSE))</f>
        <v/>
      </c>
      <c r="J24" s="30" t="str">
        <f>IF(ISNA(VLOOKUP($A24,'Species Library'!$A$6:$Z$150,COLUMN('Species Library'!I20),FALSE)), "",VLOOKUP($A24,'Species Library'!$A$6:$Z$150,COLUMN('Species Library'!I20),FALSE))</f>
        <v/>
      </c>
      <c r="K24" s="30" t="str">
        <f>IF(ISNA(VLOOKUP($A24,'Species Library'!$A$6:$Z$150,COLUMN('Species Library'!J20),FALSE)), "",VLOOKUP($A24,'Species Library'!$A$6:$Z$150,COLUMN('Species Library'!J20),FALSE))</f>
        <v/>
      </c>
      <c r="L24" s="30" t="str">
        <f>IF(ISNA(VLOOKUP($A24,'Species Library'!$A$6:$Z$150,COLUMN('Species Library'!K20),FALSE)), "",VLOOKUP($A24,'Species Library'!$A$6:$Z$150,COLUMN('Species Library'!K20),FALSE))</f>
        <v/>
      </c>
      <c r="M24" s="30" t="str">
        <f t="shared" si="1"/>
        <v/>
      </c>
      <c r="N24" s="30" t="str">
        <f>IF(ISNA(VLOOKUP($A24,'Species Library'!$A$6:$Z$150,COLUMN('Species Library'!L20),FALSE)), "",VLOOKUP($A24,'Species Library'!$A$6:$Z$150,COLUMN('Species Library'!L20),FALSE))</f>
        <v/>
      </c>
      <c r="O24" s="30" t="str">
        <f>IF(ISNA(VLOOKUP($A24,'Species Library'!$A$6:$Z$150,COLUMN('Species Library'!M20),FALSE)), "",VLOOKUP($A24,'Species Library'!$A$6:$Z$150,COLUMN('Species Library'!M20),FALSE))</f>
        <v/>
      </c>
      <c r="P24" s="30" t="str">
        <f>IF(ISNA(VLOOKUP($A24,'Species Library'!$A$6:$Z$150,COLUMN('Species Library'!N20),FALSE)), "",VLOOKUP($A24,'Species Library'!$A$6:$Z$150,COLUMN('Species Library'!N20),FALSE))</f>
        <v/>
      </c>
      <c r="Q24" s="30" t="str">
        <f t="shared" si="2"/>
        <v/>
      </c>
      <c r="R24" s="30" t="str">
        <f>IF(ISNA(VLOOKUP($A24,'Species Library'!$A$6:$Z$150,COLUMN('Species Library'!O20),FALSE)), "",VLOOKUP($A24,'Species Library'!$A$6:$Z$150,COLUMN('Species Library'!O20),FALSE))</f>
        <v/>
      </c>
      <c r="S24" s="30" t="str">
        <f>IF(ISNA(VLOOKUP($A24,'Species Library'!$A$6:$Z$150,COLUMN('Species Library'!P20),FALSE)), "",VLOOKUP($A24,'Species Library'!$A$6:$Z$150,COLUMN('Species Library'!P20),FALSE))</f>
        <v/>
      </c>
      <c r="T24" s="30" t="str">
        <f>IF(ISNA(VLOOKUP($A24,'Species Library'!$A$6:$Z$150,COLUMN('Species Library'!Q20),FALSE)), "",VLOOKUP($A24,'Species Library'!$A$6:$Z$150,COLUMN('Species Library'!Q20),FALSE))</f>
        <v/>
      </c>
      <c r="U24" s="30" t="str">
        <f>IF(ISNA(VLOOKUP($A24,'Species Library'!$A$6:$Z$150,COLUMN('Species Library'!R20),FALSE)), "",VLOOKUP($A24,'Species Library'!$A$6:$Z$150,COLUMN('Species Library'!R20),FALSE))</f>
        <v/>
      </c>
      <c r="V24" s="30" t="str">
        <f>IF(ISNA(VLOOKUP($A24,'Species Library'!$A$6:$Z$150,COLUMN('Species Library'!S20),FALSE)), "",VLOOKUP($A24,'Species Library'!$A$6:$Z$150,COLUMN('Species Library'!S20),FALSE))</f>
        <v/>
      </c>
      <c r="W24" s="30" t="str">
        <f>IF(ISNA(VLOOKUP($A24,'Species Library'!$A$6:$Z$150,COLUMN('Species Library'!T20),FALSE)), "",VLOOKUP($A24,'Species Library'!$A$6:$Z$150,COLUMN('Species Library'!T20),FALSE))</f>
        <v/>
      </c>
      <c r="X24" s="30" t="str">
        <f t="shared" si="3"/>
        <v/>
      </c>
      <c r="Y24" s="30" t="str">
        <f>IF(ISNA(VLOOKUP($A24,'Species Library'!$A$6:$Z$150,COLUMN('Species Library'!U20),FALSE)), "",VLOOKUP($A24,'Species Library'!$A$6:$Z$150,COLUMN('Species Library'!U20),FALSE))</f>
        <v/>
      </c>
      <c r="Z24" s="30" t="str">
        <f>IF(ISNA(VLOOKUP($A24,'Species Library'!$A$6:$Z$150,COLUMN('Species Library'!V20),FALSE)), "",VLOOKUP($A24,'Species Library'!$A$6:$Z$150,COLUMN('Species Library'!V20),FALSE))</f>
        <v/>
      </c>
      <c r="AA24" s="30" t="str">
        <f>IF(ISNA(VLOOKUP($A24,'Species Library'!$A$6:$Z$150,COLUMN('Species Library'!W20),FALSE)), "",VLOOKUP($A24,'Species Library'!$A$6:$Z$150,COLUMN('Species Library'!W20),FALSE))</f>
        <v/>
      </c>
      <c r="AB24" s="30" t="str">
        <f>IF(ISNA(VLOOKUP($A24,'Species Library'!$A$6:$Z$150,COLUMN('Species Library'!X20),FALSE)), "",VLOOKUP($A24,'Species Library'!$A$6:$Z$150,COLUMN('Species Library'!X20),FALSE))</f>
        <v/>
      </c>
      <c r="AC24" s="30" t="str">
        <f>IF(ISNA(VLOOKUP($A24,'Species Library'!$A$6:$Z$150,COLUMN('Species Library'!Y20),FALSE)), "",VLOOKUP($A24,'Species Library'!$A$6:$Z$150,COLUMN('Species Library'!Y20),FALSE))</f>
        <v/>
      </c>
      <c r="AD24" s="30" t="str">
        <f>IF(ISNA(VLOOKUP($A24,'Species Library'!$A$6:$Z$150,COLUMN('Species Library'!Z20),FALSE)), "",VLOOKUP($A24,'Species Library'!$A$6:$Z$150,COLUMN('Species Library'!Z20),FALSE))</f>
        <v/>
      </c>
    </row>
    <row r="25" spans="2:30" x14ac:dyDescent="0.4">
      <c r="B25" s="30" t="str">
        <f>IF(ISNA(VLOOKUP($A25,'Species Library'!$A$6:$Z$150,COLUMN('Species Library'!B21),FALSE)), "",VLOOKUP($A25,'Species Library'!$A$6:$Z$150,COLUMN('Species Library'!B21),FALSE))</f>
        <v/>
      </c>
      <c r="C25" s="30" t="str">
        <f>IF(ISNA(VLOOKUP($A25,'Species Library'!$A$6:$Z$150,COLUMN('Species Library'!C21),FALSE)), "",VLOOKUP($A25,'Species Library'!$A$6:$Z$150,COLUMN('Species Library'!C21),FALSE))</f>
        <v/>
      </c>
      <c r="D25" s="30" t="str">
        <f>IF(ISNA(VLOOKUP($A25,'Species Library'!$A$6:$Z$150,COLUMN('Species Library'!D21),FALSE)), "",VLOOKUP($A25,'Species Library'!$A$6:$Z$150,COLUMN('Species Library'!D21),FALSE))</f>
        <v/>
      </c>
      <c r="E25" s="30" t="str">
        <f>IF(ISNA(VLOOKUP($A25,'Species Library'!$A$6:$Z$150,COLUMN('Species Library'!E21),FALSE)), "",VLOOKUP($A25,'Species Library'!$A$6:$Z$150,COLUMN('Species Library'!E21),FALSE))</f>
        <v/>
      </c>
      <c r="F25" s="30" t="str">
        <f>IF(ISNA(VLOOKUP($A25,'Species Library'!$A$6:$Z$150,COLUMN('Species Library'!F21),FALSE)), "",VLOOKUP($A25,'Species Library'!$A$6:$Z$150,COLUMN('Species Library'!F21),FALSE))</f>
        <v/>
      </c>
      <c r="G25" s="30" t="str">
        <f t="shared" si="0"/>
        <v/>
      </c>
      <c r="H25" s="30" t="str">
        <f>IF(ISNA(VLOOKUP($A25,'Species Library'!$A$6:$Z$150,COLUMN('Species Library'!G21),FALSE)), "",VLOOKUP($A25,'Species Library'!$A$6:$Z$150,COLUMN('Species Library'!G21),FALSE))</f>
        <v/>
      </c>
      <c r="I25" s="30" t="str">
        <f>IF(ISNA(VLOOKUP($A25,'Species Library'!$A$6:$Z$150,COLUMN('Species Library'!H21),FALSE)), "",VLOOKUP($A25,'Species Library'!$A$6:$Z$150,COLUMN('Species Library'!H21),FALSE))</f>
        <v/>
      </c>
      <c r="J25" s="30" t="str">
        <f>IF(ISNA(VLOOKUP($A25,'Species Library'!$A$6:$Z$150,COLUMN('Species Library'!I21),FALSE)), "",VLOOKUP($A25,'Species Library'!$A$6:$Z$150,COLUMN('Species Library'!I21),FALSE))</f>
        <v/>
      </c>
      <c r="K25" s="30" t="str">
        <f>IF(ISNA(VLOOKUP($A25,'Species Library'!$A$6:$Z$150,COLUMN('Species Library'!J21),FALSE)), "",VLOOKUP($A25,'Species Library'!$A$6:$Z$150,COLUMN('Species Library'!J21),FALSE))</f>
        <v/>
      </c>
      <c r="L25" s="30" t="str">
        <f>IF(ISNA(VLOOKUP($A25,'Species Library'!$A$6:$Z$150,COLUMN('Species Library'!K21),FALSE)), "",VLOOKUP($A25,'Species Library'!$A$6:$Z$150,COLUMN('Species Library'!K21),FALSE))</f>
        <v/>
      </c>
      <c r="M25" s="30" t="str">
        <f t="shared" si="1"/>
        <v/>
      </c>
      <c r="N25" s="30" t="str">
        <f>IF(ISNA(VLOOKUP($A25,'Species Library'!$A$6:$Z$150,COLUMN('Species Library'!L21),FALSE)), "",VLOOKUP($A25,'Species Library'!$A$6:$Z$150,COLUMN('Species Library'!L21),FALSE))</f>
        <v/>
      </c>
      <c r="O25" s="30" t="str">
        <f>IF(ISNA(VLOOKUP($A25,'Species Library'!$A$6:$Z$150,COLUMN('Species Library'!M21),FALSE)), "",VLOOKUP($A25,'Species Library'!$A$6:$Z$150,COLUMN('Species Library'!M21),FALSE))</f>
        <v/>
      </c>
      <c r="P25" s="30" t="str">
        <f>IF(ISNA(VLOOKUP($A25,'Species Library'!$A$6:$Z$150,COLUMN('Species Library'!N21),FALSE)), "",VLOOKUP($A25,'Species Library'!$A$6:$Z$150,COLUMN('Species Library'!N21),FALSE))</f>
        <v/>
      </c>
      <c r="Q25" s="30" t="str">
        <f t="shared" si="2"/>
        <v/>
      </c>
      <c r="R25" s="30" t="str">
        <f>IF(ISNA(VLOOKUP($A25,'Species Library'!$A$6:$Z$150,COLUMN('Species Library'!O21),FALSE)), "",VLOOKUP($A25,'Species Library'!$A$6:$Z$150,COLUMN('Species Library'!O21),FALSE))</f>
        <v/>
      </c>
      <c r="S25" s="30" t="str">
        <f>IF(ISNA(VLOOKUP($A25,'Species Library'!$A$6:$Z$150,COLUMN('Species Library'!P21),FALSE)), "",VLOOKUP($A25,'Species Library'!$A$6:$Z$150,COLUMN('Species Library'!P21),FALSE))</f>
        <v/>
      </c>
      <c r="T25" s="30" t="str">
        <f>IF(ISNA(VLOOKUP($A25,'Species Library'!$A$6:$Z$150,COLUMN('Species Library'!Q21),FALSE)), "",VLOOKUP($A25,'Species Library'!$A$6:$Z$150,COLUMN('Species Library'!Q21),FALSE))</f>
        <v/>
      </c>
      <c r="U25" s="30" t="str">
        <f>IF(ISNA(VLOOKUP($A25,'Species Library'!$A$6:$Z$150,COLUMN('Species Library'!R21),FALSE)), "",VLOOKUP($A25,'Species Library'!$A$6:$Z$150,COLUMN('Species Library'!R21),FALSE))</f>
        <v/>
      </c>
      <c r="V25" s="30" t="str">
        <f>IF(ISNA(VLOOKUP($A25,'Species Library'!$A$6:$Z$150,COLUMN('Species Library'!S21),FALSE)), "",VLOOKUP($A25,'Species Library'!$A$6:$Z$150,COLUMN('Species Library'!S21),FALSE))</f>
        <v/>
      </c>
      <c r="W25" s="30" t="str">
        <f>IF(ISNA(VLOOKUP($A25,'Species Library'!$A$6:$Z$150,COLUMN('Species Library'!T21),FALSE)), "",VLOOKUP($A25,'Species Library'!$A$6:$Z$150,COLUMN('Species Library'!T21),FALSE))</f>
        <v/>
      </c>
      <c r="X25" s="30" t="str">
        <f t="shared" si="3"/>
        <v/>
      </c>
      <c r="Y25" s="30" t="str">
        <f>IF(ISNA(VLOOKUP($A25,'Species Library'!$A$6:$Z$150,COLUMN('Species Library'!U21),FALSE)), "",VLOOKUP($A25,'Species Library'!$A$6:$Z$150,COLUMN('Species Library'!U21),FALSE))</f>
        <v/>
      </c>
      <c r="Z25" s="30" t="str">
        <f>IF(ISNA(VLOOKUP($A25,'Species Library'!$A$6:$Z$150,COLUMN('Species Library'!V21),FALSE)), "",VLOOKUP($A25,'Species Library'!$A$6:$Z$150,COLUMN('Species Library'!V21),FALSE))</f>
        <v/>
      </c>
      <c r="AA25" s="30" t="str">
        <f>IF(ISNA(VLOOKUP($A25,'Species Library'!$A$6:$Z$150,COLUMN('Species Library'!W21),FALSE)), "",VLOOKUP($A25,'Species Library'!$A$6:$Z$150,COLUMN('Species Library'!W21),FALSE))</f>
        <v/>
      </c>
      <c r="AB25" s="30" t="str">
        <f>IF(ISNA(VLOOKUP($A25,'Species Library'!$A$6:$Z$150,COLUMN('Species Library'!X21),FALSE)), "",VLOOKUP($A25,'Species Library'!$A$6:$Z$150,COLUMN('Species Library'!X21),FALSE))</f>
        <v/>
      </c>
      <c r="AC25" s="30" t="str">
        <f>IF(ISNA(VLOOKUP($A25,'Species Library'!$A$6:$Z$150,COLUMN('Species Library'!Y21),FALSE)), "",VLOOKUP($A25,'Species Library'!$A$6:$Z$150,COLUMN('Species Library'!Y21),FALSE))</f>
        <v/>
      </c>
      <c r="AD25" s="30" t="str">
        <f>IF(ISNA(VLOOKUP($A25,'Species Library'!$A$6:$Z$150,COLUMN('Species Library'!Z21),FALSE)), "",VLOOKUP($A25,'Species Library'!$A$6:$Z$150,COLUMN('Species Library'!Z21),FALSE))</f>
        <v/>
      </c>
    </row>
    <row r="26" spans="2:30" x14ac:dyDescent="0.4">
      <c r="B26" s="30" t="str">
        <f>IF(ISNA(VLOOKUP($A26,'Species Library'!$A$6:$Z$150,COLUMN('Species Library'!B22),FALSE)), "",VLOOKUP($A26,'Species Library'!$A$6:$Z$150,COLUMN('Species Library'!B22),FALSE))</f>
        <v/>
      </c>
      <c r="C26" s="30" t="str">
        <f>IF(ISNA(VLOOKUP($A26,'Species Library'!$A$6:$Z$150,COLUMN('Species Library'!C22),FALSE)), "",VLOOKUP($A26,'Species Library'!$A$6:$Z$150,COLUMN('Species Library'!C22),FALSE))</f>
        <v/>
      </c>
      <c r="D26" s="30" t="str">
        <f>IF(ISNA(VLOOKUP($A26,'Species Library'!$A$6:$Z$150,COLUMN('Species Library'!D22),FALSE)), "",VLOOKUP($A26,'Species Library'!$A$6:$Z$150,COLUMN('Species Library'!D22),FALSE))</f>
        <v/>
      </c>
      <c r="E26" s="30" t="str">
        <f>IF(ISNA(VLOOKUP($A26,'Species Library'!$A$6:$Z$150,COLUMN('Species Library'!E22),FALSE)), "",VLOOKUP($A26,'Species Library'!$A$6:$Z$150,COLUMN('Species Library'!E22),FALSE))</f>
        <v/>
      </c>
      <c r="F26" s="30" t="str">
        <f>IF(ISNA(VLOOKUP($A26,'Species Library'!$A$6:$Z$150,COLUMN('Species Library'!F22),FALSE)), "",VLOOKUP($A26,'Species Library'!$A$6:$Z$150,COLUMN('Species Library'!F22),FALSE))</f>
        <v/>
      </c>
      <c r="G26" s="30" t="str">
        <f t="shared" si="0"/>
        <v/>
      </c>
      <c r="H26" s="30" t="str">
        <f>IF(ISNA(VLOOKUP($A26,'Species Library'!$A$6:$Z$150,COLUMN('Species Library'!G22),FALSE)), "",VLOOKUP($A26,'Species Library'!$A$6:$Z$150,COLUMN('Species Library'!G22),FALSE))</f>
        <v/>
      </c>
      <c r="I26" s="30" t="str">
        <f>IF(ISNA(VLOOKUP($A26,'Species Library'!$A$6:$Z$150,COLUMN('Species Library'!H22),FALSE)), "",VLOOKUP($A26,'Species Library'!$A$6:$Z$150,COLUMN('Species Library'!H22),FALSE))</f>
        <v/>
      </c>
      <c r="J26" s="30" t="str">
        <f>IF(ISNA(VLOOKUP($A26,'Species Library'!$A$6:$Z$150,COLUMN('Species Library'!I22),FALSE)), "",VLOOKUP($A26,'Species Library'!$A$6:$Z$150,COLUMN('Species Library'!I22),FALSE))</f>
        <v/>
      </c>
      <c r="K26" s="30" t="str">
        <f>IF(ISNA(VLOOKUP($A26,'Species Library'!$A$6:$Z$150,COLUMN('Species Library'!J22),FALSE)), "",VLOOKUP($A26,'Species Library'!$A$6:$Z$150,COLUMN('Species Library'!J22),FALSE))</f>
        <v/>
      </c>
      <c r="L26" s="30" t="str">
        <f>IF(ISNA(VLOOKUP($A26,'Species Library'!$A$6:$Z$150,COLUMN('Species Library'!K22),FALSE)), "",VLOOKUP($A26,'Species Library'!$A$6:$Z$150,COLUMN('Species Library'!K22),FALSE))</f>
        <v/>
      </c>
      <c r="M26" s="30" t="str">
        <f t="shared" si="1"/>
        <v/>
      </c>
      <c r="N26" s="30" t="str">
        <f>IF(ISNA(VLOOKUP($A26,'Species Library'!$A$6:$Z$150,COLUMN('Species Library'!L22),FALSE)), "",VLOOKUP($A26,'Species Library'!$A$6:$Z$150,COLUMN('Species Library'!L22),FALSE))</f>
        <v/>
      </c>
      <c r="O26" s="30" t="str">
        <f>IF(ISNA(VLOOKUP($A26,'Species Library'!$A$6:$Z$150,COLUMN('Species Library'!M22),FALSE)), "",VLOOKUP($A26,'Species Library'!$A$6:$Z$150,COLUMN('Species Library'!M22),FALSE))</f>
        <v/>
      </c>
      <c r="P26" s="30" t="str">
        <f>IF(ISNA(VLOOKUP($A26,'Species Library'!$A$6:$Z$150,COLUMN('Species Library'!N22),FALSE)), "",VLOOKUP($A26,'Species Library'!$A$6:$Z$150,COLUMN('Species Library'!N22),FALSE))</f>
        <v/>
      </c>
      <c r="Q26" s="30" t="str">
        <f t="shared" si="2"/>
        <v/>
      </c>
      <c r="R26" s="30" t="str">
        <f>IF(ISNA(VLOOKUP($A26,'Species Library'!$A$6:$Z$150,COLUMN('Species Library'!O22),FALSE)), "",VLOOKUP($A26,'Species Library'!$A$6:$Z$150,COLUMN('Species Library'!O22),FALSE))</f>
        <v/>
      </c>
      <c r="S26" s="30" t="str">
        <f>IF(ISNA(VLOOKUP($A26,'Species Library'!$A$6:$Z$150,COLUMN('Species Library'!P22),FALSE)), "",VLOOKUP($A26,'Species Library'!$A$6:$Z$150,COLUMN('Species Library'!P22),FALSE))</f>
        <v/>
      </c>
      <c r="T26" s="30" t="str">
        <f>IF(ISNA(VLOOKUP($A26,'Species Library'!$A$6:$Z$150,COLUMN('Species Library'!Q22),FALSE)), "",VLOOKUP($A26,'Species Library'!$A$6:$Z$150,COLUMN('Species Library'!Q22),FALSE))</f>
        <v/>
      </c>
      <c r="U26" s="30" t="str">
        <f>IF(ISNA(VLOOKUP($A26,'Species Library'!$A$6:$Z$150,COLUMN('Species Library'!R22),FALSE)), "",VLOOKUP($A26,'Species Library'!$A$6:$Z$150,COLUMN('Species Library'!R22),FALSE))</f>
        <v/>
      </c>
      <c r="V26" s="30" t="str">
        <f>IF(ISNA(VLOOKUP($A26,'Species Library'!$A$6:$Z$150,COLUMN('Species Library'!S22),FALSE)), "",VLOOKUP($A26,'Species Library'!$A$6:$Z$150,COLUMN('Species Library'!S22),FALSE))</f>
        <v/>
      </c>
      <c r="W26" s="30" t="str">
        <f>IF(ISNA(VLOOKUP($A26,'Species Library'!$A$6:$Z$150,COLUMN('Species Library'!T22),FALSE)), "",VLOOKUP($A26,'Species Library'!$A$6:$Z$150,COLUMN('Species Library'!T22),FALSE))</f>
        <v/>
      </c>
      <c r="X26" s="30" t="str">
        <f t="shared" si="3"/>
        <v/>
      </c>
      <c r="Y26" s="30" t="str">
        <f>IF(ISNA(VLOOKUP($A26,'Species Library'!$A$6:$Z$150,COLUMN('Species Library'!U22),FALSE)), "",VLOOKUP($A26,'Species Library'!$A$6:$Z$150,COLUMN('Species Library'!U22),FALSE))</f>
        <v/>
      </c>
      <c r="Z26" s="30" t="str">
        <f>IF(ISNA(VLOOKUP($A26,'Species Library'!$A$6:$Z$150,COLUMN('Species Library'!V22),FALSE)), "",VLOOKUP($A26,'Species Library'!$A$6:$Z$150,COLUMN('Species Library'!V22),FALSE))</f>
        <v/>
      </c>
      <c r="AA26" s="30" t="str">
        <f>IF(ISNA(VLOOKUP($A26,'Species Library'!$A$6:$Z$150,COLUMN('Species Library'!W22),FALSE)), "",VLOOKUP($A26,'Species Library'!$A$6:$Z$150,COLUMN('Species Library'!W22),FALSE))</f>
        <v/>
      </c>
      <c r="AB26" s="30" t="str">
        <f>IF(ISNA(VLOOKUP($A26,'Species Library'!$A$6:$Z$150,COLUMN('Species Library'!X22),FALSE)), "",VLOOKUP($A26,'Species Library'!$A$6:$Z$150,COLUMN('Species Library'!X22),FALSE))</f>
        <v/>
      </c>
      <c r="AC26" s="30" t="str">
        <f>IF(ISNA(VLOOKUP($A26,'Species Library'!$A$6:$Z$150,COLUMN('Species Library'!Y22),FALSE)), "",VLOOKUP($A26,'Species Library'!$A$6:$Z$150,COLUMN('Species Library'!Y22),FALSE))</f>
        <v/>
      </c>
      <c r="AD26" s="30" t="str">
        <f>IF(ISNA(VLOOKUP($A26,'Species Library'!$A$6:$Z$150,COLUMN('Species Library'!Z22),FALSE)), "",VLOOKUP($A26,'Species Library'!$A$6:$Z$150,COLUMN('Species Library'!Z22),FALSE))</f>
        <v/>
      </c>
    </row>
    <row r="27" spans="2:30" x14ac:dyDescent="0.4">
      <c r="B27" s="30" t="str">
        <f>IF(ISNA(VLOOKUP($A27,'Species Library'!$A$6:$Z$150,COLUMN('Species Library'!B23),FALSE)), "",VLOOKUP($A27,'Species Library'!$A$6:$Z$150,COLUMN('Species Library'!B23),FALSE))</f>
        <v/>
      </c>
      <c r="C27" s="30" t="str">
        <f>IF(ISNA(VLOOKUP($A27,'Species Library'!$A$6:$Z$150,COLUMN('Species Library'!C23),FALSE)), "",VLOOKUP($A27,'Species Library'!$A$6:$Z$150,COLUMN('Species Library'!C23),FALSE))</f>
        <v/>
      </c>
      <c r="D27" s="30" t="str">
        <f>IF(ISNA(VLOOKUP($A27,'Species Library'!$A$6:$Z$150,COLUMN('Species Library'!D23),FALSE)), "",VLOOKUP($A27,'Species Library'!$A$6:$Z$150,COLUMN('Species Library'!D23),FALSE))</f>
        <v/>
      </c>
      <c r="E27" s="30" t="str">
        <f>IF(ISNA(VLOOKUP($A27,'Species Library'!$A$6:$Z$150,COLUMN('Species Library'!E23),FALSE)), "",VLOOKUP($A27,'Species Library'!$A$6:$Z$150,COLUMN('Species Library'!E23),FALSE))</f>
        <v/>
      </c>
      <c r="F27" s="30" t="str">
        <f>IF(ISNA(VLOOKUP($A27,'Species Library'!$A$6:$Z$150,COLUMN('Species Library'!F23),FALSE)), "",VLOOKUP($A27,'Species Library'!$A$6:$Z$150,COLUMN('Species Library'!F23),FALSE))</f>
        <v/>
      </c>
      <c r="G27" s="30" t="str">
        <f t="shared" si="0"/>
        <v/>
      </c>
      <c r="H27" s="30" t="str">
        <f>IF(ISNA(VLOOKUP($A27,'Species Library'!$A$6:$Z$150,COLUMN('Species Library'!G23),FALSE)), "",VLOOKUP($A27,'Species Library'!$A$6:$Z$150,COLUMN('Species Library'!G23),FALSE))</f>
        <v/>
      </c>
      <c r="I27" s="30" t="str">
        <f>IF(ISNA(VLOOKUP($A27,'Species Library'!$A$6:$Z$150,COLUMN('Species Library'!H23),FALSE)), "",VLOOKUP($A27,'Species Library'!$A$6:$Z$150,COLUMN('Species Library'!H23),FALSE))</f>
        <v/>
      </c>
      <c r="J27" s="30" t="str">
        <f>IF(ISNA(VLOOKUP($A27,'Species Library'!$A$6:$Z$150,COLUMN('Species Library'!I23),FALSE)), "",VLOOKUP($A27,'Species Library'!$A$6:$Z$150,COLUMN('Species Library'!I23),FALSE))</f>
        <v/>
      </c>
      <c r="K27" s="30" t="str">
        <f>IF(ISNA(VLOOKUP($A27,'Species Library'!$A$6:$Z$150,COLUMN('Species Library'!J23),FALSE)), "",VLOOKUP($A27,'Species Library'!$A$6:$Z$150,COLUMN('Species Library'!J23),FALSE))</f>
        <v/>
      </c>
      <c r="L27" s="30" t="str">
        <f>IF(ISNA(VLOOKUP($A27,'Species Library'!$A$6:$Z$150,COLUMN('Species Library'!K23),FALSE)), "",VLOOKUP($A27,'Species Library'!$A$6:$Z$150,COLUMN('Species Library'!K23),FALSE))</f>
        <v/>
      </c>
      <c r="M27" s="30" t="str">
        <f t="shared" si="1"/>
        <v/>
      </c>
      <c r="N27" s="30" t="str">
        <f>IF(ISNA(VLOOKUP($A27,'Species Library'!$A$6:$Z$150,COLUMN('Species Library'!L23),FALSE)), "",VLOOKUP($A27,'Species Library'!$A$6:$Z$150,COLUMN('Species Library'!L23),FALSE))</f>
        <v/>
      </c>
      <c r="O27" s="30" t="str">
        <f>IF(ISNA(VLOOKUP($A27,'Species Library'!$A$6:$Z$150,COLUMN('Species Library'!M23),FALSE)), "",VLOOKUP($A27,'Species Library'!$A$6:$Z$150,COLUMN('Species Library'!M23),FALSE))</f>
        <v/>
      </c>
      <c r="P27" s="30" t="str">
        <f>IF(ISNA(VLOOKUP($A27,'Species Library'!$A$6:$Z$150,COLUMN('Species Library'!N23),FALSE)), "",VLOOKUP($A27,'Species Library'!$A$6:$Z$150,COLUMN('Species Library'!N23),FALSE))</f>
        <v/>
      </c>
      <c r="Q27" s="30" t="str">
        <f t="shared" si="2"/>
        <v/>
      </c>
      <c r="R27" s="30" t="str">
        <f>IF(ISNA(VLOOKUP($A27,'Species Library'!$A$6:$Z$150,COLUMN('Species Library'!O23),FALSE)), "",VLOOKUP($A27,'Species Library'!$A$6:$Z$150,COLUMN('Species Library'!O23),FALSE))</f>
        <v/>
      </c>
      <c r="S27" s="30" t="str">
        <f>IF(ISNA(VLOOKUP($A27,'Species Library'!$A$6:$Z$150,COLUMN('Species Library'!P23),FALSE)), "",VLOOKUP($A27,'Species Library'!$A$6:$Z$150,COLUMN('Species Library'!P23),FALSE))</f>
        <v/>
      </c>
      <c r="T27" s="30" t="str">
        <f>IF(ISNA(VLOOKUP($A27,'Species Library'!$A$6:$Z$150,COLUMN('Species Library'!Q23),FALSE)), "",VLOOKUP($A27,'Species Library'!$A$6:$Z$150,COLUMN('Species Library'!Q23),FALSE))</f>
        <v/>
      </c>
      <c r="U27" s="30" t="str">
        <f>IF(ISNA(VLOOKUP($A27,'Species Library'!$A$6:$Z$150,COLUMN('Species Library'!R23),FALSE)), "",VLOOKUP($A27,'Species Library'!$A$6:$Z$150,COLUMN('Species Library'!R23),FALSE))</f>
        <v/>
      </c>
      <c r="V27" s="30" t="str">
        <f>IF(ISNA(VLOOKUP($A27,'Species Library'!$A$6:$Z$150,COLUMN('Species Library'!S23),FALSE)), "",VLOOKUP($A27,'Species Library'!$A$6:$Z$150,COLUMN('Species Library'!S23),FALSE))</f>
        <v/>
      </c>
      <c r="W27" s="30" t="str">
        <f>IF(ISNA(VLOOKUP($A27,'Species Library'!$A$6:$Z$150,COLUMN('Species Library'!T23),FALSE)), "",VLOOKUP($A27,'Species Library'!$A$6:$Z$150,COLUMN('Species Library'!T23),FALSE))</f>
        <v/>
      </c>
      <c r="X27" s="30" t="str">
        <f t="shared" si="3"/>
        <v/>
      </c>
      <c r="Y27" s="30" t="str">
        <f>IF(ISNA(VLOOKUP($A27,'Species Library'!$A$6:$Z$150,COLUMN('Species Library'!U23),FALSE)), "",VLOOKUP($A27,'Species Library'!$A$6:$Z$150,COLUMN('Species Library'!U23),FALSE))</f>
        <v/>
      </c>
      <c r="Z27" s="30" t="str">
        <f>IF(ISNA(VLOOKUP($A27,'Species Library'!$A$6:$Z$150,COLUMN('Species Library'!V23),FALSE)), "",VLOOKUP($A27,'Species Library'!$A$6:$Z$150,COLUMN('Species Library'!V23),FALSE))</f>
        <v/>
      </c>
      <c r="AA27" s="30" t="str">
        <f>IF(ISNA(VLOOKUP($A27,'Species Library'!$A$6:$Z$150,COLUMN('Species Library'!W23),FALSE)), "",VLOOKUP($A27,'Species Library'!$A$6:$Z$150,COLUMN('Species Library'!W23),FALSE))</f>
        <v/>
      </c>
      <c r="AB27" s="30" t="str">
        <f>IF(ISNA(VLOOKUP($A27,'Species Library'!$A$6:$Z$150,COLUMN('Species Library'!X23),FALSE)), "",VLOOKUP($A27,'Species Library'!$A$6:$Z$150,COLUMN('Species Library'!X23),FALSE))</f>
        <v/>
      </c>
      <c r="AC27" s="30" t="str">
        <f>IF(ISNA(VLOOKUP($A27,'Species Library'!$A$6:$Z$150,COLUMN('Species Library'!Y23),FALSE)), "",VLOOKUP($A27,'Species Library'!$A$6:$Z$150,COLUMN('Species Library'!Y23),FALSE))</f>
        <v/>
      </c>
      <c r="AD27" s="30" t="str">
        <f>IF(ISNA(VLOOKUP($A27,'Species Library'!$A$6:$Z$150,COLUMN('Species Library'!Z23),FALSE)), "",VLOOKUP($A27,'Species Library'!$A$6:$Z$150,COLUMN('Species Library'!Z23),FALSE))</f>
        <v/>
      </c>
    </row>
    <row r="28" spans="2:30" x14ac:dyDescent="0.4">
      <c r="B28" s="30" t="str">
        <f>IF(ISNA(VLOOKUP($A28,'Species Library'!$A$6:$Z$150,COLUMN('Species Library'!B24),FALSE)), "",VLOOKUP($A28,'Species Library'!$A$6:$Z$150,COLUMN('Species Library'!B24),FALSE))</f>
        <v/>
      </c>
      <c r="C28" s="30" t="str">
        <f>IF(ISNA(VLOOKUP($A28,'Species Library'!$A$6:$Z$150,COLUMN('Species Library'!C24),FALSE)), "",VLOOKUP($A28,'Species Library'!$A$6:$Z$150,COLUMN('Species Library'!C24),FALSE))</f>
        <v/>
      </c>
      <c r="D28" s="30" t="str">
        <f>IF(ISNA(VLOOKUP($A28,'Species Library'!$A$6:$Z$150,COLUMN('Species Library'!D24),FALSE)), "",VLOOKUP($A28,'Species Library'!$A$6:$Z$150,COLUMN('Species Library'!D24),FALSE))</f>
        <v/>
      </c>
      <c r="E28" s="30" t="str">
        <f>IF(ISNA(VLOOKUP($A28,'Species Library'!$A$6:$Z$150,COLUMN('Species Library'!E24),FALSE)), "",VLOOKUP($A28,'Species Library'!$A$6:$Z$150,COLUMN('Species Library'!E24),FALSE))</f>
        <v/>
      </c>
      <c r="F28" s="30" t="str">
        <f>IF(ISNA(VLOOKUP($A28,'Species Library'!$A$6:$Z$150,COLUMN('Species Library'!F24),FALSE)), "",VLOOKUP($A28,'Species Library'!$A$6:$Z$150,COLUMN('Species Library'!F24),FALSE))</f>
        <v/>
      </c>
      <c r="G28" s="30" t="str">
        <f t="shared" si="0"/>
        <v/>
      </c>
      <c r="H28" s="30" t="str">
        <f>IF(ISNA(VLOOKUP($A28,'Species Library'!$A$6:$Z$150,COLUMN('Species Library'!G24),FALSE)), "",VLOOKUP($A28,'Species Library'!$A$6:$Z$150,COLUMN('Species Library'!G24),FALSE))</f>
        <v/>
      </c>
      <c r="I28" s="30" t="str">
        <f>IF(ISNA(VLOOKUP($A28,'Species Library'!$A$6:$Z$150,COLUMN('Species Library'!H24),FALSE)), "",VLOOKUP($A28,'Species Library'!$A$6:$Z$150,COLUMN('Species Library'!H24),FALSE))</f>
        <v/>
      </c>
      <c r="J28" s="30" t="str">
        <f>IF(ISNA(VLOOKUP($A28,'Species Library'!$A$6:$Z$150,COLUMN('Species Library'!I24),FALSE)), "",VLOOKUP($A28,'Species Library'!$A$6:$Z$150,COLUMN('Species Library'!I24),FALSE))</f>
        <v/>
      </c>
      <c r="K28" s="30" t="str">
        <f>IF(ISNA(VLOOKUP($A28,'Species Library'!$A$6:$Z$150,COLUMN('Species Library'!J24),FALSE)), "",VLOOKUP($A28,'Species Library'!$A$6:$Z$150,COLUMN('Species Library'!J24),FALSE))</f>
        <v/>
      </c>
      <c r="L28" s="30" t="str">
        <f>IF(ISNA(VLOOKUP($A28,'Species Library'!$A$6:$Z$150,COLUMN('Species Library'!K24),FALSE)), "",VLOOKUP($A28,'Species Library'!$A$6:$Z$150,COLUMN('Species Library'!K24),FALSE))</f>
        <v/>
      </c>
      <c r="M28" s="30" t="str">
        <f t="shared" si="1"/>
        <v/>
      </c>
      <c r="N28" s="30" t="str">
        <f>IF(ISNA(VLOOKUP($A28,'Species Library'!$A$6:$Z$150,COLUMN('Species Library'!L24),FALSE)), "",VLOOKUP($A28,'Species Library'!$A$6:$Z$150,COLUMN('Species Library'!L24),FALSE))</f>
        <v/>
      </c>
      <c r="O28" s="30" t="str">
        <f>IF(ISNA(VLOOKUP($A28,'Species Library'!$A$6:$Z$150,COLUMN('Species Library'!M24),FALSE)), "",VLOOKUP($A28,'Species Library'!$A$6:$Z$150,COLUMN('Species Library'!M24),FALSE))</f>
        <v/>
      </c>
      <c r="P28" s="30" t="str">
        <f>IF(ISNA(VLOOKUP($A28,'Species Library'!$A$6:$Z$150,COLUMN('Species Library'!N24),FALSE)), "",VLOOKUP($A28,'Species Library'!$A$6:$Z$150,COLUMN('Species Library'!N24),FALSE))</f>
        <v/>
      </c>
      <c r="Q28" s="30" t="str">
        <f t="shared" si="2"/>
        <v/>
      </c>
      <c r="R28" s="30" t="str">
        <f>IF(ISNA(VLOOKUP($A28,'Species Library'!$A$6:$Z$150,COLUMN('Species Library'!O24),FALSE)), "",VLOOKUP($A28,'Species Library'!$A$6:$Z$150,COLUMN('Species Library'!O24),FALSE))</f>
        <v/>
      </c>
      <c r="S28" s="30" t="str">
        <f>IF(ISNA(VLOOKUP($A28,'Species Library'!$A$6:$Z$150,COLUMN('Species Library'!P24),FALSE)), "",VLOOKUP($A28,'Species Library'!$A$6:$Z$150,COLUMN('Species Library'!P24),FALSE))</f>
        <v/>
      </c>
      <c r="T28" s="30" t="str">
        <f>IF(ISNA(VLOOKUP($A28,'Species Library'!$A$6:$Z$150,COLUMN('Species Library'!Q24),FALSE)), "",VLOOKUP($A28,'Species Library'!$A$6:$Z$150,COLUMN('Species Library'!Q24),FALSE))</f>
        <v/>
      </c>
      <c r="U28" s="30" t="str">
        <f>IF(ISNA(VLOOKUP($A28,'Species Library'!$A$6:$Z$150,COLUMN('Species Library'!R24),FALSE)), "",VLOOKUP($A28,'Species Library'!$A$6:$Z$150,COLUMN('Species Library'!R24),FALSE))</f>
        <v/>
      </c>
      <c r="V28" s="30" t="str">
        <f>IF(ISNA(VLOOKUP($A28,'Species Library'!$A$6:$Z$150,COLUMN('Species Library'!S24),FALSE)), "",VLOOKUP($A28,'Species Library'!$A$6:$Z$150,COLUMN('Species Library'!S24),FALSE))</f>
        <v/>
      </c>
      <c r="W28" s="30" t="str">
        <f>IF(ISNA(VLOOKUP($A28,'Species Library'!$A$6:$Z$150,COLUMN('Species Library'!T24),FALSE)), "",VLOOKUP($A28,'Species Library'!$A$6:$Z$150,COLUMN('Species Library'!T24),FALSE))</f>
        <v/>
      </c>
      <c r="X28" s="30" t="str">
        <f t="shared" si="3"/>
        <v/>
      </c>
      <c r="Y28" s="30" t="str">
        <f>IF(ISNA(VLOOKUP($A28,'Species Library'!$A$6:$Z$150,COLUMN('Species Library'!U24),FALSE)), "",VLOOKUP($A28,'Species Library'!$A$6:$Z$150,COLUMN('Species Library'!U24),FALSE))</f>
        <v/>
      </c>
      <c r="Z28" s="30" t="str">
        <f>IF(ISNA(VLOOKUP($A28,'Species Library'!$A$6:$Z$150,COLUMN('Species Library'!V24),FALSE)), "",VLOOKUP($A28,'Species Library'!$A$6:$Z$150,COLUMN('Species Library'!V24),FALSE))</f>
        <v/>
      </c>
      <c r="AA28" s="30" t="str">
        <f>IF(ISNA(VLOOKUP($A28,'Species Library'!$A$6:$Z$150,COLUMN('Species Library'!W24),FALSE)), "",VLOOKUP($A28,'Species Library'!$A$6:$Z$150,COLUMN('Species Library'!W24),FALSE))</f>
        <v/>
      </c>
      <c r="AB28" s="30" t="str">
        <f>IF(ISNA(VLOOKUP($A28,'Species Library'!$A$6:$Z$150,COLUMN('Species Library'!X24),FALSE)), "",VLOOKUP($A28,'Species Library'!$A$6:$Z$150,COLUMN('Species Library'!X24),FALSE))</f>
        <v/>
      </c>
      <c r="AC28" s="30" t="str">
        <f>IF(ISNA(VLOOKUP($A28,'Species Library'!$A$6:$Z$150,COLUMN('Species Library'!Y24),FALSE)), "",VLOOKUP($A28,'Species Library'!$A$6:$Z$150,COLUMN('Species Library'!Y24),FALSE))</f>
        <v/>
      </c>
      <c r="AD28" s="30" t="str">
        <f>IF(ISNA(VLOOKUP($A28,'Species Library'!$A$6:$Z$150,COLUMN('Species Library'!Z24),FALSE)), "",VLOOKUP($A28,'Species Library'!$A$6:$Z$150,COLUMN('Species Library'!Z24),FALSE))</f>
        <v/>
      </c>
    </row>
    <row r="29" spans="2:30" x14ac:dyDescent="0.4">
      <c r="B29" s="30" t="str">
        <f>IF(ISNA(VLOOKUP($A29,'Species Library'!$A$6:$Z$150,COLUMN('Species Library'!B25),FALSE)), "",VLOOKUP($A29,'Species Library'!$A$6:$Z$150,COLUMN('Species Library'!B25),FALSE))</f>
        <v/>
      </c>
      <c r="C29" s="30" t="str">
        <f>IF(ISNA(VLOOKUP($A29,'Species Library'!$A$6:$Z$150,COLUMN('Species Library'!C25),FALSE)), "",VLOOKUP($A29,'Species Library'!$A$6:$Z$150,COLUMN('Species Library'!C25),FALSE))</f>
        <v/>
      </c>
      <c r="D29" s="30" t="str">
        <f>IF(ISNA(VLOOKUP($A29,'Species Library'!$A$6:$Z$150,COLUMN('Species Library'!D25),FALSE)), "",VLOOKUP($A29,'Species Library'!$A$6:$Z$150,COLUMN('Species Library'!D25),FALSE))</f>
        <v/>
      </c>
      <c r="E29" s="30" t="str">
        <f>IF(ISNA(VLOOKUP($A29,'Species Library'!$A$6:$Z$150,COLUMN('Species Library'!E25),FALSE)), "",VLOOKUP($A29,'Species Library'!$A$6:$Z$150,COLUMN('Species Library'!E25),FALSE))</f>
        <v/>
      </c>
      <c r="F29" s="30" t="str">
        <f>IF(ISNA(VLOOKUP($A29,'Species Library'!$A$6:$Z$150,COLUMN('Species Library'!F25),FALSE)), "",VLOOKUP($A29,'Species Library'!$A$6:$Z$150,COLUMN('Species Library'!F25),FALSE))</f>
        <v/>
      </c>
      <c r="G29" s="30" t="str">
        <f t="shared" si="0"/>
        <v/>
      </c>
      <c r="H29" s="30" t="str">
        <f>IF(ISNA(VLOOKUP($A29,'Species Library'!$A$6:$Z$150,COLUMN('Species Library'!G25),FALSE)), "",VLOOKUP($A29,'Species Library'!$A$6:$Z$150,COLUMN('Species Library'!G25),FALSE))</f>
        <v/>
      </c>
      <c r="I29" s="30" t="str">
        <f>IF(ISNA(VLOOKUP($A29,'Species Library'!$A$6:$Z$150,COLUMN('Species Library'!H25),FALSE)), "",VLOOKUP($A29,'Species Library'!$A$6:$Z$150,COLUMN('Species Library'!H25),FALSE))</f>
        <v/>
      </c>
      <c r="J29" s="30" t="str">
        <f>IF(ISNA(VLOOKUP($A29,'Species Library'!$A$6:$Z$150,COLUMN('Species Library'!I25),FALSE)), "",VLOOKUP($A29,'Species Library'!$A$6:$Z$150,COLUMN('Species Library'!I25),FALSE))</f>
        <v/>
      </c>
      <c r="K29" s="30" t="str">
        <f>IF(ISNA(VLOOKUP($A29,'Species Library'!$A$6:$Z$150,COLUMN('Species Library'!J25),FALSE)), "",VLOOKUP($A29,'Species Library'!$A$6:$Z$150,COLUMN('Species Library'!J25),FALSE))</f>
        <v/>
      </c>
      <c r="L29" s="30" t="str">
        <f>IF(ISNA(VLOOKUP($A29,'Species Library'!$A$6:$Z$150,COLUMN('Species Library'!K25),FALSE)), "",VLOOKUP($A29,'Species Library'!$A$6:$Z$150,COLUMN('Species Library'!K25),FALSE))</f>
        <v/>
      </c>
      <c r="M29" s="30" t="str">
        <f t="shared" si="1"/>
        <v/>
      </c>
      <c r="N29" s="30" t="str">
        <f>IF(ISNA(VLOOKUP($A29,'Species Library'!$A$6:$Z$150,COLUMN('Species Library'!L25),FALSE)), "",VLOOKUP($A29,'Species Library'!$A$6:$Z$150,COLUMN('Species Library'!L25),FALSE))</f>
        <v/>
      </c>
      <c r="O29" s="30" t="str">
        <f>IF(ISNA(VLOOKUP($A29,'Species Library'!$A$6:$Z$150,COLUMN('Species Library'!M25),FALSE)), "",VLOOKUP($A29,'Species Library'!$A$6:$Z$150,COLUMN('Species Library'!M25),FALSE))</f>
        <v/>
      </c>
      <c r="P29" s="30" t="str">
        <f>IF(ISNA(VLOOKUP($A29,'Species Library'!$A$6:$Z$150,COLUMN('Species Library'!N25),FALSE)), "",VLOOKUP($A29,'Species Library'!$A$6:$Z$150,COLUMN('Species Library'!N25),FALSE))</f>
        <v/>
      </c>
      <c r="Q29" s="30" t="str">
        <f t="shared" si="2"/>
        <v/>
      </c>
      <c r="R29" s="30" t="str">
        <f>IF(ISNA(VLOOKUP($A29,'Species Library'!$A$6:$Z$150,COLUMN('Species Library'!O25),FALSE)), "",VLOOKUP($A29,'Species Library'!$A$6:$Z$150,COLUMN('Species Library'!O25),FALSE))</f>
        <v/>
      </c>
      <c r="S29" s="30" t="str">
        <f>IF(ISNA(VLOOKUP($A29,'Species Library'!$A$6:$Z$150,COLUMN('Species Library'!P25),FALSE)), "",VLOOKUP($A29,'Species Library'!$A$6:$Z$150,COLUMN('Species Library'!P25),FALSE))</f>
        <v/>
      </c>
      <c r="T29" s="30" t="str">
        <f>IF(ISNA(VLOOKUP($A29,'Species Library'!$A$6:$Z$150,COLUMN('Species Library'!Q25),FALSE)), "",VLOOKUP($A29,'Species Library'!$A$6:$Z$150,COLUMN('Species Library'!Q25),FALSE))</f>
        <v/>
      </c>
      <c r="U29" s="30" t="str">
        <f>IF(ISNA(VLOOKUP($A29,'Species Library'!$A$6:$Z$150,COLUMN('Species Library'!R25),FALSE)), "",VLOOKUP($A29,'Species Library'!$A$6:$Z$150,COLUMN('Species Library'!R25),FALSE))</f>
        <v/>
      </c>
      <c r="V29" s="30" t="str">
        <f>IF(ISNA(VLOOKUP($A29,'Species Library'!$A$6:$Z$150,COLUMN('Species Library'!S25),FALSE)), "",VLOOKUP($A29,'Species Library'!$A$6:$Z$150,COLUMN('Species Library'!S25),FALSE))</f>
        <v/>
      </c>
      <c r="W29" s="30" t="str">
        <f>IF(ISNA(VLOOKUP($A29,'Species Library'!$A$6:$Z$150,COLUMN('Species Library'!T25),FALSE)), "",VLOOKUP($A29,'Species Library'!$A$6:$Z$150,COLUMN('Species Library'!T25),FALSE))</f>
        <v/>
      </c>
      <c r="X29" s="30" t="str">
        <f t="shared" si="3"/>
        <v/>
      </c>
      <c r="Y29" s="30" t="str">
        <f>IF(ISNA(VLOOKUP($A29,'Species Library'!$A$6:$Z$150,COLUMN('Species Library'!U25),FALSE)), "",VLOOKUP($A29,'Species Library'!$A$6:$Z$150,COLUMN('Species Library'!U25),FALSE))</f>
        <v/>
      </c>
      <c r="Z29" s="30" t="str">
        <f>IF(ISNA(VLOOKUP($A29,'Species Library'!$A$6:$Z$150,COLUMN('Species Library'!V25),FALSE)), "",VLOOKUP($A29,'Species Library'!$A$6:$Z$150,COLUMN('Species Library'!V25),FALSE))</f>
        <v/>
      </c>
      <c r="AA29" s="30" t="str">
        <f>IF(ISNA(VLOOKUP($A29,'Species Library'!$A$6:$Z$150,COLUMN('Species Library'!W25),FALSE)), "",VLOOKUP($A29,'Species Library'!$A$6:$Z$150,COLUMN('Species Library'!W25),FALSE))</f>
        <v/>
      </c>
      <c r="AB29" s="30" t="str">
        <f>IF(ISNA(VLOOKUP($A29,'Species Library'!$A$6:$Z$150,COLUMN('Species Library'!X25),FALSE)), "",VLOOKUP($A29,'Species Library'!$A$6:$Z$150,COLUMN('Species Library'!X25),FALSE))</f>
        <v/>
      </c>
      <c r="AC29" s="30" t="str">
        <f>IF(ISNA(VLOOKUP($A29,'Species Library'!$A$6:$Z$150,COLUMN('Species Library'!Y25),FALSE)), "",VLOOKUP($A29,'Species Library'!$A$6:$Z$150,COLUMN('Species Library'!Y25),FALSE))</f>
        <v/>
      </c>
      <c r="AD29" s="30" t="str">
        <f>IF(ISNA(VLOOKUP($A29,'Species Library'!$A$6:$Z$150,COLUMN('Species Library'!Z25),FALSE)), "",VLOOKUP($A29,'Species Library'!$A$6:$Z$150,COLUMN('Species Library'!Z25),FALSE))</f>
        <v/>
      </c>
    </row>
    <row r="30" spans="2:30" x14ac:dyDescent="0.4">
      <c r="B30" s="30" t="str">
        <f>IF(ISNA(VLOOKUP($A30,'Species Library'!$A$6:$Z$150,COLUMN('Species Library'!B26),FALSE)), "",VLOOKUP($A30,'Species Library'!$A$6:$Z$150,COLUMN('Species Library'!B26),FALSE))</f>
        <v/>
      </c>
      <c r="C30" s="30" t="str">
        <f>IF(ISNA(VLOOKUP($A30,'Species Library'!$A$6:$Z$150,COLUMN('Species Library'!C26),FALSE)), "",VLOOKUP($A30,'Species Library'!$A$6:$Z$150,COLUMN('Species Library'!C26),FALSE))</f>
        <v/>
      </c>
      <c r="D30" s="30" t="str">
        <f>IF(ISNA(VLOOKUP($A30,'Species Library'!$A$6:$Z$150,COLUMN('Species Library'!D26),FALSE)), "",VLOOKUP($A30,'Species Library'!$A$6:$Z$150,COLUMN('Species Library'!D26),FALSE))</f>
        <v/>
      </c>
      <c r="E30" s="30" t="str">
        <f>IF(ISNA(VLOOKUP($A30,'Species Library'!$A$6:$Z$150,COLUMN('Species Library'!E26),FALSE)), "",VLOOKUP($A30,'Species Library'!$A$6:$Z$150,COLUMN('Species Library'!E26),FALSE))</f>
        <v/>
      </c>
      <c r="F30" s="30" t="str">
        <f>IF(ISNA(VLOOKUP($A30,'Species Library'!$A$6:$Z$150,COLUMN('Species Library'!F26),FALSE)), "",VLOOKUP($A30,'Species Library'!$A$6:$Z$150,COLUMN('Species Library'!F26),FALSE))</f>
        <v/>
      </c>
      <c r="G30" s="30" t="str">
        <f t="shared" si="0"/>
        <v/>
      </c>
      <c r="H30" s="30" t="str">
        <f>IF(ISNA(VLOOKUP($A30,'Species Library'!$A$6:$Z$150,COLUMN('Species Library'!G26),FALSE)), "",VLOOKUP($A30,'Species Library'!$A$6:$Z$150,COLUMN('Species Library'!G26),FALSE))</f>
        <v/>
      </c>
      <c r="I30" s="30" t="str">
        <f>IF(ISNA(VLOOKUP($A30,'Species Library'!$A$6:$Z$150,COLUMN('Species Library'!H26),FALSE)), "",VLOOKUP($A30,'Species Library'!$A$6:$Z$150,COLUMN('Species Library'!H26),FALSE))</f>
        <v/>
      </c>
      <c r="J30" s="30" t="str">
        <f>IF(ISNA(VLOOKUP($A30,'Species Library'!$A$6:$Z$150,COLUMN('Species Library'!I26),FALSE)), "",VLOOKUP($A30,'Species Library'!$A$6:$Z$150,COLUMN('Species Library'!I26),FALSE))</f>
        <v/>
      </c>
      <c r="K30" s="30" t="str">
        <f>IF(ISNA(VLOOKUP($A30,'Species Library'!$A$6:$Z$150,COLUMN('Species Library'!J26),FALSE)), "",VLOOKUP($A30,'Species Library'!$A$6:$Z$150,COLUMN('Species Library'!J26),FALSE))</f>
        <v/>
      </c>
      <c r="L30" s="30" t="str">
        <f>IF(ISNA(VLOOKUP($A30,'Species Library'!$A$6:$Z$150,COLUMN('Species Library'!K26),FALSE)), "",VLOOKUP($A30,'Species Library'!$A$6:$Z$150,COLUMN('Species Library'!K26),FALSE))</f>
        <v/>
      </c>
      <c r="M30" s="30" t="str">
        <f t="shared" si="1"/>
        <v/>
      </c>
      <c r="N30" s="30" t="str">
        <f>IF(ISNA(VLOOKUP($A30,'Species Library'!$A$6:$Z$150,COLUMN('Species Library'!L26),FALSE)), "",VLOOKUP($A30,'Species Library'!$A$6:$Z$150,COLUMN('Species Library'!L26),FALSE))</f>
        <v/>
      </c>
      <c r="O30" s="30" t="str">
        <f>IF(ISNA(VLOOKUP($A30,'Species Library'!$A$6:$Z$150,COLUMN('Species Library'!M26),FALSE)), "",VLOOKUP($A30,'Species Library'!$A$6:$Z$150,COLUMN('Species Library'!M26),FALSE))</f>
        <v/>
      </c>
      <c r="P30" s="30" t="str">
        <f>IF(ISNA(VLOOKUP($A30,'Species Library'!$A$6:$Z$150,COLUMN('Species Library'!N26),FALSE)), "",VLOOKUP($A30,'Species Library'!$A$6:$Z$150,COLUMN('Species Library'!N26),FALSE))</f>
        <v/>
      </c>
      <c r="Q30" s="30" t="str">
        <f t="shared" si="2"/>
        <v/>
      </c>
      <c r="R30" s="30" t="str">
        <f>IF(ISNA(VLOOKUP($A30,'Species Library'!$A$6:$Z$150,COLUMN('Species Library'!O26),FALSE)), "",VLOOKUP($A30,'Species Library'!$A$6:$Z$150,COLUMN('Species Library'!O26),FALSE))</f>
        <v/>
      </c>
      <c r="S30" s="30" t="str">
        <f>IF(ISNA(VLOOKUP($A30,'Species Library'!$A$6:$Z$150,COLUMN('Species Library'!P26),FALSE)), "",VLOOKUP($A30,'Species Library'!$A$6:$Z$150,COLUMN('Species Library'!P26),FALSE))</f>
        <v/>
      </c>
      <c r="T30" s="30" t="str">
        <f>IF(ISNA(VLOOKUP($A30,'Species Library'!$A$6:$Z$150,COLUMN('Species Library'!Q26),FALSE)), "",VLOOKUP($A30,'Species Library'!$A$6:$Z$150,COLUMN('Species Library'!Q26),FALSE))</f>
        <v/>
      </c>
      <c r="U30" s="30" t="str">
        <f>IF(ISNA(VLOOKUP($A30,'Species Library'!$A$6:$Z$150,COLUMN('Species Library'!R26),FALSE)), "",VLOOKUP($A30,'Species Library'!$A$6:$Z$150,COLUMN('Species Library'!R26),FALSE))</f>
        <v/>
      </c>
      <c r="V30" s="30" t="str">
        <f>IF(ISNA(VLOOKUP($A30,'Species Library'!$A$6:$Z$150,COLUMN('Species Library'!S26),FALSE)), "",VLOOKUP($A30,'Species Library'!$A$6:$Z$150,COLUMN('Species Library'!S26),FALSE))</f>
        <v/>
      </c>
      <c r="W30" s="30" t="str">
        <f>IF(ISNA(VLOOKUP($A30,'Species Library'!$A$6:$Z$150,COLUMN('Species Library'!T26),FALSE)), "",VLOOKUP($A30,'Species Library'!$A$6:$Z$150,COLUMN('Species Library'!T26),FALSE))</f>
        <v/>
      </c>
      <c r="X30" s="30" t="str">
        <f t="shared" si="3"/>
        <v/>
      </c>
      <c r="Y30" s="30" t="str">
        <f>IF(ISNA(VLOOKUP($A30,'Species Library'!$A$6:$Z$150,COLUMN('Species Library'!U26),FALSE)), "",VLOOKUP($A30,'Species Library'!$A$6:$Z$150,COLUMN('Species Library'!U26),FALSE))</f>
        <v/>
      </c>
      <c r="Z30" s="30" t="str">
        <f>IF(ISNA(VLOOKUP($A30,'Species Library'!$A$6:$Z$150,COLUMN('Species Library'!V26),FALSE)), "",VLOOKUP($A30,'Species Library'!$A$6:$Z$150,COLUMN('Species Library'!V26),FALSE))</f>
        <v/>
      </c>
      <c r="AA30" s="30" t="str">
        <f>IF(ISNA(VLOOKUP($A30,'Species Library'!$A$6:$Z$150,COLUMN('Species Library'!W26),FALSE)), "",VLOOKUP($A30,'Species Library'!$A$6:$Z$150,COLUMN('Species Library'!W26),FALSE))</f>
        <v/>
      </c>
      <c r="AB30" s="30" t="str">
        <f>IF(ISNA(VLOOKUP($A30,'Species Library'!$A$6:$Z$150,COLUMN('Species Library'!X26),FALSE)), "",VLOOKUP($A30,'Species Library'!$A$6:$Z$150,COLUMN('Species Library'!X26),FALSE))</f>
        <v/>
      </c>
      <c r="AC30" s="30" t="str">
        <f>IF(ISNA(VLOOKUP($A30,'Species Library'!$A$6:$Z$150,COLUMN('Species Library'!Y26),FALSE)), "",VLOOKUP($A30,'Species Library'!$A$6:$Z$150,COLUMN('Species Library'!Y26),FALSE))</f>
        <v/>
      </c>
      <c r="AD30" s="30" t="str">
        <f>IF(ISNA(VLOOKUP($A30,'Species Library'!$A$6:$Z$150,COLUMN('Species Library'!Z26),FALSE)), "",VLOOKUP($A30,'Species Library'!$A$6:$Z$150,COLUMN('Species Library'!Z26),FALSE))</f>
        <v/>
      </c>
    </row>
    <row r="31" spans="2:30" x14ac:dyDescent="0.4">
      <c r="B31" s="30" t="str">
        <f>IF(ISNA(VLOOKUP($A31,'Species Library'!$A$6:$Z$150,COLUMN('Species Library'!B27),FALSE)), "",VLOOKUP($A31,'Species Library'!$A$6:$Z$150,COLUMN('Species Library'!B27),FALSE))</f>
        <v/>
      </c>
      <c r="C31" s="30" t="str">
        <f>IF(ISNA(VLOOKUP($A31,'Species Library'!$A$6:$Z$150,COLUMN('Species Library'!C27),FALSE)), "",VLOOKUP($A31,'Species Library'!$A$6:$Z$150,COLUMN('Species Library'!C27),FALSE))</f>
        <v/>
      </c>
      <c r="D31" s="30" t="str">
        <f>IF(ISNA(VLOOKUP($A31,'Species Library'!$A$6:$Z$150,COLUMN('Species Library'!D27),FALSE)), "",VLOOKUP($A31,'Species Library'!$A$6:$Z$150,COLUMN('Species Library'!D27),FALSE))</f>
        <v/>
      </c>
      <c r="E31" s="30" t="str">
        <f>IF(ISNA(VLOOKUP($A31,'Species Library'!$A$6:$Z$150,COLUMN('Species Library'!E27),FALSE)), "",VLOOKUP($A31,'Species Library'!$A$6:$Z$150,COLUMN('Species Library'!E27),FALSE))</f>
        <v/>
      </c>
      <c r="F31" s="30" t="str">
        <f>IF(ISNA(VLOOKUP($A31,'Species Library'!$A$6:$Z$150,COLUMN('Species Library'!F27),FALSE)), "",VLOOKUP($A31,'Species Library'!$A$6:$Z$150,COLUMN('Species Library'!F27),FALSE))</f>
        <v/>
      </c>
      <c r="G31" s="30" t="str">
        <f t="shared" si="0"/>
        <v/>
      </c>
      <c r="H31" s="30" t="str">
        <f>IF(ISNA(VLOOKUP($A31,'Species Library'!$A$6:$Z$150,COLUMN('Species Library'!G27),FALSE)), "",VLOOKUP($A31,'Species Library'!$A$6:$Z$150,COLUMN('Species Library'!G27),FALSE))</f>
        <v/>
      </c>
      <c r="I31" s="30" t="str">
        <f>IF(ISNA(VLOOKUP($A31,'Species Library'!$A$6:$Z$150,COLUMN('Species Library'!H27),FALSE)), "",VLOOKUP($A31,'Species Library'!$A$6:$Z$150,COLUMN('Species Library'!H27),FALSE))</f>
        <v/>
      </c>
      <c r="J31" s="30" t="str">
        <f>IF(ISNA(VLOOKUP($A31,'Species Library'!$A$6:$Z$150,COLUMN('Species Library'!I27),FALSE)), "",VLOOKUP($A31,'Species Library'!$A$6:$Z$150,COLUMN('Species Library'!I27),FALSE))</f>
        <v/>
      </c>
      <c r="K31" s="30" t="str">
        <f>IF(ISNA(VLOOKUP($A31,'Species Library'!$A$6:$Z$150,COLUMN('Species Library'!J27),FALSE)), "",VLOOKUP($A31,'Species Library'!$A$6:$Z$150,COLUMN('Species Library'!J27),FALSE))</f>
        <v/>
      </c>
      <c r="L31" s="30" t="str">
        <f>IF(ISNA(VLOOKUP($A31,'Species Library'!$A$6:$Z$150,COLUMN('Species Library'!K27),FALSE)), "",VLOOKUP($A31,'Species Library'!$A$6:$Z$150,COLUMN('Species Library'!K27),FALSE))</f>
        <v/>
      </c>
      <c r="M31" s="30" t="str">
        <f t="shared" si="1"/>
        <v/>
      </c>
      <c r="N31" s="30" t="str">
        <f>IF(ISNA(VLOOKUP($A31,'Species Library'!$A$6:$Z$150,COLUMN('Species Library'!L27),FALSE)), "",VLOOKUP($A31,'Species Library'!$A$6:$Z$150,COLUMN('Species Library'!L27),FALSE))</f>
        <v/>
      </c>
      <c r="O31" s="30" t="str">
        <f>IF(ISNA(VLOOKUP($A31,'Species Library'!$A$6:$Z$150,COLUMN('Species Library'!M27),FALSE)), "",VLOOKUP($A31,'Species Library'!$A$6:$Z$150,COLUMN('Species Library'!M27),FALSE))</f>
        <v/>
      </c>
      <c r="P31" s="30" t="str">
        <f>IF(ISNA(VLOOKUP($A31,'Species Library'!$A$6:$Z$150,COLUMN('Species Library'!N27),FALSE)), "",VLOOKUP($A31,'Species Library'!$A$6:$Z$150,COLUMN('Species Library'!N27),FALSE))</f>
        <v/>
      </c>
      <c r="Q31" s="30" t="str">
        <f t="shared" si="2"/>
        <v/>
      </c>
      <c r="R31" s="30" t="str">
        <f>IF(ISNA(VLOOKUP($A31,'Species Library'!$A$6:$Z$150,COLUMN('Species Library'!O27),FALSE)), "",VLOOKUP($A31,'Species Library'!$A$6:$Z$150,COLUMN('Species Library'!O27),FALSE))</f>
        <v/>
      </c>
      <c r="S31" s="30" t="str">
        <f>IF(ISNA(VLOOKUP($A31,'Species Library'!$A$6:$Z$150,COLUMN('Species Library'!P27),FALSE)), "",VLOOKUP($A31,'Species Library'!$A$6:$Z$150,COLUMN('Species Library'!P27),FALSE))</f>
        <v/>
      </c>
      <c r="T31" s="30" t="str">
        <f>IF(ISNA(VLOOKUP($A31,'Species Library'!$A$6:$Z$150,COLUMN('Species Library'!Q27),FALSE)), "",VLOOKUP($A31,'Species Library'!$A$6:$Z$150,COLUMN('Species Library'!Q27),FALSE))</f>
        <v/>
      </c>
      <c r="U31" s="30" t="str">
        <f>IF(ISNA(VLOOKUP($A31,'Species Library'!$A$6:$Z$150,COLUMN('Species Library'!R27),FALSE)), "",VLOOKUP($A31,'Species Library'!$A$6:$Z$150,COLUMN('Species Library'!R27),FALSE))</f>
        <v/>
      </c>
      <c r="V31" s="30" t="str">
        <f>IF(ISNA(VLOOKUP($A31,'Species Library'!$A$6:$Z$150,COLUMN('Species Library'!S27),FALSE)), "",VLOOKUP($A31,'Species Library'!$A$6:$Z$150,COLUMN('Species Library'!S27),FALSE))</f>
        <v/>
      </c>
      <c r="W31" s="30" t="str">
        <f>IF(ISNA(VLOOKUP($A31,'Species Library'!$A$6:$Z$150,COLUMN('Species Library'!T27),FALSE)), "",VLOOKUP($A31,'Species Library'!$A$6:$Z$150,COLUMN('Species Library'!T27),FALSE))</f>
        <v/>
      </c>
      <c r="X31" s="30" t="str">
        <f t="shared" si="3"/>
        <v/>
      </c>
      <c r="Y31" s="30" t="str">
        <f>IF(ISNA(VLOOKUP($A31,'Species Library'!$A$6:$Z$150,COLUMN('Species Library'!U27),FALSE)), "",VLOOKUP($A31,'Species Library'!$A$6:$Z$150,COLUMN('Species Library'!U27),FALSE))</f>
        <v/>
      </c>
      <c r="Z31" s="30" t="str">
        <f>IF(ISNA(VLOOKUP($A31,'Species Library'!$A$6:$Z$150,COLUMN('Species Library'!V27),FALSE)), "",VLOOKUP($A31,'Species Library'!$A$6:$Z$150,COLUMN('Species Library'!V27),FALSE))</f>
        <v/>
      </c>
      <c r="AA31" s="30" t="str">
        <f>IF(ISNA(VLOOKUP($A31,'Species Library'!$A$6:$Z$150,COLUMN('Species Library'!W27),FALSE)), "",VLOOKUP($A31,'Species Library'!$A$6:$Z$150,COLUMN('Species Library'!W27),FALSE))</f>
        <v/>
      </c>
      <c r="AB31" s="30" t="str">
        <f>IF(ISNA(VLOOKUP($A31,'Species Library'!$A$6:$Z$150,COLUMN('Species Library'!X27),FALSE)), "",VLOOKUP($A31,'Species Library'!$A$6:$Z$150,COLUMN('Species Library'!X27),FALSE))</f>
        <v/>
      </c>
      <c r="AC31" s="30" t="str">
        <f>IF(ISNA(VLOOKUP($A31,'Species Library'!$A$6:$Z$150,COLUMN('Species Library'!Y27),FALSE)), "",VLOOKUP($A31,'Species Library'!$A$6:$Z$150,COLUMN('Species Library'!Y27),FALSE))</f>
        <v/>
      </c>
      <c r="AD31" s="30" t="str">
        <f>IF(ISNA(VLOOKUP($A31,'Species Library'!$A$6:$Z$150,COLUMN('Species Library'!Z27),FALSE)), "",VLOOKUP($A31,'Species Library'!$A$6:$Z$150,COLUMN('Species Library'!Z27),FALSE))</f>
        <v/>
      </c>
    </row>
    <row r="32" spans="2:30" x14ac:dyDescent="0.4">
      <c r="B32" s="30" t="str">
        <f>IF(ISNA(VLOOKUP($A32,'Species Library'!$A$6:$Z$150,COLUMN('Species Library'!B28),FALSE)), "",VLOOKUP($A32,'Species Library'!$A$6:$Z$150,COLUMN('Species Library'!B28),FALSE))</f>
        <v/>
      </c>
      <c r="C32" s="30" t="str">
        <f>IF(ISNA(VLOOKUP($A32,'Species Library'!$A$6:$Z$150,COLUMN('Species Library'!C28),FALSE)), "",VLOOKUP($A32,'Species Library'!$A$6:$Z$150,COLUMN('Species Library'!C28),FALSE))</f>
        <v/>
      </c>
      <c r="D32" s="30" t="str">
        <f>IF(ISNA(VLOOKUP($A32,'Species Library'!$A$6:$Z$150,COLUMN('Species Library'!D28),FALSE)), "",VLOOKUP($A32,'Species Library'!$A$6:$Z$150,COLUMN('Species Library'!D28),FALSE))</f>
        <v/>
      </c>
      <c r="E32" s="30" t="str">
        <f>IF(ISNA(VLOOKUP($A32,'Species Library'!$A$6:$Z$150,COLUMN('Species Library'!E28),FALSE)), "",VLOOKUP($A32,'Species Library'!$A$6:$Z$150,COLUMN('Species Library'!E28),FALSE))</f>
        <v/>
      </c>
      <c r="F32" s="30" t="str">
        <f>IF(ISNA(VLOOKUP($A32,'Species Library'!$A$6:$Z$150,COLUMN('Species Library'!F28),FALSE)), "",VLOOKUP($A32,'Species Library'!$A$6:$Z$150,COLUMN('Species Library'!F28),FALSE))</f>
        <v/>
      </c>
      <c r="G32" s="30" t="str">
        <f t="shared" si="0"/>
        <v/>
      </c>
      <c r="H32" s="30" t="str">
        <f>IF(ISNA(VLOOKUP($A32,'Species Library'!$A$6:$Z$150,COLUMN('Species Library'!G28),FALSE)), "",VLOOKUP($A32,'Species Library'!$A$6:$Z$150,COLUMN('Species Library'!G28),FALSE))</f>
        <v/>
      </c>
      <c r="I32" s="30" t="str">
        <f>IF(ISNA(VLOOKUP($A32,'Species Library'!$A$6:$Z$150,COLUMN('Species Library'!H28),FALSE)), "",VLOOKUP($A32,'Species Library'!$A$6:$Z$150,COLUMN('Species Library'!H28),FALSE))</f>
        <v/>
      </c>
      <c r="J32" s="30" t="str">
        <f>IF(ISNA(VLOOKUP($A32,'Species Library'!$A$6:$Z$150,COLUMN('Species Library'!I28),FALSE)), "",VLOOKUP($A32,'Species Library'!$A$6:$Z$150,COLUMN('Species Library'!I28),FALSE))</f>
        <v/>
      </c>
      <c r="K32" s="30" t="str">
        <f>IF(ISNA(VLOOKUP($A32,'Species Library'!$A$6:$Z$150,COLUMN('Species Library'!J28),FALSE)), "",VLOOKUP($A32,'Species Library'!$A$6:$Z$150,COLUMN('Species Library'!J28),FALSE))</f>
        <v/>
      </c>
      <c r="L32" s="30" t="str">
        <f>IF(ISNA(VLOOKUP($A32,'Species Library'!$A$6:$Z$150,COLUMN('Species Library'!K28),FALSE)), "",VLOOKUP($A32,'Species Library'!$A$6:$Z$150,COLUMN('Species Library'!K28),FALSE))</f>
        <v/>
      </c>
      <c r="M32" s="30" t="str">
        <f t="shared" si="1"/>
        <v/>
      </c>
      <c r="N32" s="30" t="str">
        <f>IF(ISNA(VLOOKUP($A32,'Species Library'!$A$6:$Z$150,COLUMN('Species Library'!L28),FALSE)), "",VLOOKUP($A32,'Species Library'!$A$6:$Z$150,COLUMN('Species Library'!L28),FALSE))</f>
        <v/>
      </c>
      <c r="O32" s="30" t="str">
        <f>IF(ISNA(VLOOKUP($A32,'Species Library'!$A$6:$Z$150,COLUMN('Species Library'!M28),FALSE)), "",VLOOKUP($A32,'Species Library'!$A$6:$Z$150,COLUMN('Species Library'!M28),FALSE))</f>
        <v/>
      </c>
      <c r="P32" s="30" t="str">
        <f>IF(ISNA(VLOOKUP($A32,'Species Library'!$A$6:$Z$150,COLUMN('Species Library'!N28),FALSE)), "",VLOOKUP($A32,'Species Library'!$A$6:$Z$150,COLUMN('Species Library'!N28),FALSE))</f>
        <v/>
      </c>
      <c r="Q32" s="30" t="str">
        <f t="shared" si="2"/>
        <v/>
      </c>
      <c r="R32" s="30" t="str">
        <f>IF(ISNA(VLOOKUP($A32,'Species Library'!$A$6:$Z$150,COLUMN('Species Library'!O28),FALSE)), "",VLOOKUP($A32,'Species Library'!$A$6:$Z$150,COLUMN('Species Library'!O28),FALSE))</f>
        <v/>
      </c>
      <c r="S32" s="30" t="str">
        <f>IF(ISNA(VLOOKUP($A32,'Species Library'!$A$6:$Z$150,COLUMN('Species Library'!P28),FALSE)), "",VLOOKUP($A32,'Species Library'!$A$6:$Z$150,COLUMN('Species Library'!P28),FALSE))</f>
        <v/>
      </c>
      <c r="T32" s="30" t="str">
        <f>IF(ISNA(VLOOKUP($A32,'Species Library'!$A$6:$Z$150,COLUMN('Species Library'!Q28),FALSE)), "",VLOOKUP($A32,'Species Library'!$A$6:$Z$150,COLUMN('Species Library'!Q28),FALSE))</f>
        <v/>
      </c>
      <c r="U32" s="30" t="str">
        <f>IF(ISNA(VLOOKUP($A32,'Species Library'!$A$6:$Z$150,COLUMN('Species Library'!R28),FALSE)), "",VLOOKUP($A32,'Species Library'!$A$6:$Z$150,COLUMN('Species Library'!R28),FALSE))</f>
        <v/>
      </c>
      <c r="V32" s="30" t="str">
        <f>IF(ISNA(VLOOKUP($A32,'Species Library'!$A$6:$Z$150,COLUMN('Species Library'!S28),FALSE)), "",VLOOKUP($A32,'Species Library'!$A$6:$Z$150,COLUMN('Species Library'!S28),FALSE))</f>
        <v/>
      </c>
      <c r="W32" s="30" t="str">
        <f>IF(ISNA(VLOOKUP($A32,'Species Library'!$A$6:$Z$150,COLUMN('Species Library'!T28),FALSE)), "",VLOOKUP($A32,'Species Library'!$A$6:$Z$150,COLUMN('Species Library'!T28),FALSE))</f>
        <v/>
      </c>
      <c r="X32" s="30" t="str">
        <f t="shared" si="3"/>
        <v/>
      </c>
      <c r="Y32" s="30" t="str">
        <f>IF(ISNA(VLOOKUP($A32,'Species Library'!$A$6:$Z$150,COLUMN('Species Library'!U28),FALSE)), "",VLOOKUP($A32,'Species Library'!$A$6:$Z$150,COLUMN('Species Library'!U28),FALSE))</f>
        <v/>
      </c>
      <c r="Z32" s="30" t="str">
        <f>IF(ISNA(VLOOKUP($A32,'Species Library'!$A$6:$Z$150,COLUMN('Species Library'!V28),FALSE)), "",VLOOKUP($A32,'Species Library'!$A$6:$Z$150,COLUMN('Species Library'!V28),FALSE))</f>
        <v/>
      </c>
      <c r="AA32" s="30" t="str">
        <f>IF(ISNA(VLOOKUP($A32,'Species Library'!$A$6:$Z$150,COLUMN('Species Library'!W28),FALSE)), "",VLOOKUP($A32,'Species Library'!$A$6:$Z$150,COLUMN('Species Library'!W28),FALSE))</f>
        <v/>
      </c>
      <c r="AB32" s="30" t="str">
        <f>IF(ISNA(VLOOKUP($A32,'Species Library'!$A$6:$Z$150,COLUMN('Species Library'!X28),FALSE)), "",VLOOKUP($A32,'Species Library'!$A$6:$Z$150,COLUMN('Species Library'!X28),FALSE))</f>
        <v/>
      </c>
      <c r="AC32" s="30" t="str">
        <f>IF(ISNA(VLOOKUP($A32,'Species Library'!$A$6:$Z$150,COLUMN('Species Library'!Y28),FALSE)), "",VLOOKUP($A32,'Species Library'!$A$6:$Z$150,COLUMN('Species Library'!Y28),FALSE))</f>
        <v/>
      </c>
      <c r="AD32" s="30" t="str">
        <f>IF(ISNA(VLOOKUP($A32,'Species Library'!$A$6:$Z$150,COLUMN('Species Library'!Z28),FALSE)), "",VLOOKUP($A32,'Species Library'!$A$6:$Z$150,COLUMN('Species Library'!Z28),FALSE))</f>
        <v/>
      </c>
    </row>
    <row r="33" spans="2:30" x14ac:dyDescent="0.4">
      <c r="B33" s="30" t="str">
        <f>IF(ISNA(VLOOKUP($A33,'Species Library'!$A$6:$Z$150,COLUMN('Species Library'!B29),FALSE)), "",VLOOKUP($A33,'Species Library'!$A$6:$Z$150,COLUMN('Species Library'!B29),FALSE))</f>
        <v/>
      </c>
      <c r="C33" s="30" t="str">
        <f>IF(ISNA(VLOOKUP($A33,'Species Library'!$A$6:$Z$150,COLUMN('Species Library'!C29),FALSE)), "",VLOOKUP($A33,'Species Library'!$A$6:$Z$150,COLUMN('Species Library'!C29),FALSE))</f>
        <v/>
      </c>
      <c r="D33" s="30" t="str">
        <f>IF(ISNA(VLOOKUP($A33,'Species Library'!$A$6:$Z$150,COLUMN('Species Library'!D29),FALSE)), "",VLOOKUP($A33,'Species Library'!$A$6:$Z$150,COLUMN('Species Library'!D29),FALSE))</f>
        <v/>
      </c>
      <c r="E33" s="30" t="str">
        <f>IF(ISNA(VLOOKUP($A33,'Species Library'!$A$6:$Z$150,COLUMN('Species Library'!E29),FALSE)), "",VLOOKUP($A33,'Species Library'!$A$6:$Z$150,COLUMN('Species Library'!E29),FALSE))</f>
        <v/>
      </c>
      <c r="F33" s="30" t="str">
        <f>IF(ISNA(VLOOKUP($A33,'Species Library'!$A$6:$Z$150,COLUMN('Species Library'!F29),FALSE)), "",VLOOKUP($A33,'Species Library'!$A$6:$Z$150,COLUMN('Species Library'!F29),FALSE))</f>
        <v/>
      </c>
      <c r="G33" s="30" t="str">
        <f t="shared" si="0"/>
        <v/>
      </c>
      <c r="H33" s="30" t="str">
        <f>IF(ISNA(VLOOKUP($A33,'Species Library'!$A$6:$Z$150,COLUMN('Species Library'!G29),FALSE)), "",VLOOKUP($A33,'Species Library'!$A$6:$Z$150,COLUMN('Species Library'!G29),FALSE))</f>
        <v/>
      </c>
      <c r="I33" s="30" t="str">
        <f>IF(ISNA(VLOOKUP($A33,'Species Library'!$A$6:$Z$150,COLUMN('Species Library'!H29),FALSE)), "",VLOOKUP($A33,'Species Library'!$A$6:$Z$150,COLUMN('Species Library'!H29),FALSE))</f>
        <v/>
      </c>
      <c r="J33" s="30" t="str">
        <f>IF(ISNA(VLOOKUP($A33,'Species Library'!$A$6:$Z$150,COLUMN('Species Library'!I29),FALSE)), "",VLOOKUP($A33,'Species Library'!$A$6:$Z$150,COLUMN('Species Library'!I29),FALSE))</f>
        <v/>
      </c>
      <c r="K33" s="30" t="str">
        <f>IF(ISNA(VLOOKUP($A33,'Species Library'!$A$6:$Z$150,COLUMN('Species Library'!J29),FALSE)), "",VLOOKUP($A33,'Species Library'!$A$6:$Z$150,COLUMN('Species Library'!J29),FALSE))</f>
        <v/>
      </c>
      <c r="L33" s="30" t="str">
        <f>IF(ISNA(VLOOKUP($A33,'Species Library'!$A$6:$Z$150,COLUMN('Species Library'!K29),FALSE)), "",VLOOKUP($A33,'Species Library'!$A$6:$Z$150,COLUMN('Species Library'!K29),FALSE))</f>
        <v/>
      </c>
      <c r="M33" s="30" t="str">
        <f t="shared" si="1"/>
        <v/>
      </c>
      <c r="N33" s="30" t="str">
        <f>IF(ISNA(VLOOKUP($A33,'Species Library'!$A$6:$Z$150,COLUMN('Species Library'!L29),FALSE)), "",VLOOKUP($A33,'Species Library'!$A$6:$Z$150,COLUMN('Species Library'!L29),FALSE))</f>
        <v/>
      </c>
      <c r="O33" s="30" t="str">
        <f>IF(ISNA(VLOOKUP($A33,'Species Library'!$A$6:$Z$150,COLUMN('Species Library'!M29),FALSE)), "",VLOOKUP($A33,'Species Library'!$A$6:$Z$150,COLUMN('Species Library'!M29),FALSE))</f>
        <v/>
      </c>
      <c r="P33" s="30" t="str">
        <f>IF(ISNA(VLOOKUP($A33,'Species Library'!$A$6:$Z$150,COLUMN('Species Library'!N29),FALSE)), "",VLOOKUP($A33,'Species Library'!$A$6:$Z$150,COLUMN('Species Library'!N29),FALSE))</f>
        <v/>
      </c>
      <c r="Q33" s="30" t="str">
        <f t="shared" si="2"/>
        <v/>
      </c>
      <c r="R33" s="30" t="str">
        <f>IF(ISNA(VLOOKUP($A33,'Species Library'!$A$6:$Z$150,COLUMN('Species Library'!O29),FALSE)), "",VLOOKUP($A33,'Species Library'!$A$6:$Z$150,COLUMN('Species Library'!O29),FALSE))</f>
        <v/>
      </c>
      <c r="S33" s="30" t="str">
        <f>IF(ISNA(VLOOKUP($A33,'Species Library'!$A$6:$Z$150,COLUMN('Species Library'!P29),FALSE)), "",VLOOKUP($A33,'Species Library'!$A$6:$Z$150,COLUMN('Species Library'!P29),FALSE))</f>
        <v/>
      </c>
      <c r="T33" s="30" t="str">
        <f>IF(ISNA(VLOOKUP($A33,'Species Library'!$A$6:$Z$150,COLUMN('Species Library'!Q29),FALSE)), "",VLOOKUP($A33,'Species Library'!$A$6:$Z$150,COLUMN('Species Library'!Q29),FALSE))</f>
        <v/>
      </c>
      <c r="U33" s="30" t="str">
        <f>IF(ISNA(VLOOKUP($A33,'Species Library'!$A$6:$Z$150,COLUMN('Species Library'!R29),FALSE)), "",VLOOKUP($A33,'Species Library'!$A$6:$Z$150,COLUMN('Species Library'!R29),FALSE))</f>
        <v/>
      </c>
      <c r="V33" s="30" t="str">
        <f>IF(ISNA(VLOOKUP($A33,'Species Library'!$A$6:$Z$150,COLUMN('Species Library'!S29),FALSE)), "",VLOOKUP($A33,'Species Library'!$A$6:$Z$150,COLUMN('Species Library'!S29),FALSE))</f>
        <v/>
      </c>
      <c r="W33" s="30" t="str">
        <f>IF(ISNA(VLOOKUP($A33,'Species Library'!$A$6:$Z$150,COLUMN('Species Library'!T29),FALSE)), "",VLOOKUP($A33,'Species Library'!$A$6:$Z$150,COLUMN('Species Library'!T29),FALSE))</f>
        <v/>
      </c>
      <c r="X33" s="30" t="str">
        <f t="shared" si="3"/>
        <v/>
      </c>
      <c r="Y33" s="30" t="str">
        <f>IF(ISNA(VLOOKUP($A33,'Species Library'!$A$6:$Z$150,COLUMN('Species Library'!U29),FALSE)), "",VLOOKUP($A33,'Species Library'!$A$6:$Z$150,COLUMN('Species Library'!U29),FALSE))</f>
        <v/>
      </c>
      <c r="Z33" s="30" t="str">
        <f>IF(ISNA(VLOOKUP($A33,'Species Library'!$A$6:$Z$150,COLUMN('Species Library'!V29),FALSE)), "",VLOOKUP($A33,'Species Library'!$A$6:$Z$150,COLUMN('Species Library'!V29),FALSE))</f>
        <v/>
      </c>
      <c r="AA33" s="30" t="str">
        <f>IF(ISNA(VLOOKUP($A33,'Species Library'!$A$6:$Z$150,COLUMN('Species Library'!W29),FALSE)), "",VLOOKUP($A33,'Species Library'!$A$6:$Z$150,COLUMN('Species Library'!W29),FALSE))</f>
        <v/>
      </c>
      <c r="AB33" s="30" t="str">
        <f>IF(ISNA(VLOOKUP($A33,'Species Library'!$A$6:$Z$150,COLUMN('Species Library'!X29),FALSE)), "",VLOOKUP($A33,'Species Library'!$A$6:$Z$150,COLUMN('Species Library'!X29),FALSE))</f>
        <v/>
      </c>
      <c r="AC33" s="30" t="str">
        <f>IF(ISNA(VLOOKUP($A33,'Species Library'!$A$6:$Z$150,COLUMN('Species Library'!Y29),FALSE)), "",VLOOKUP($A33,'Species Library'!$A$6:$Z$150,COLUMN('Species Library'!Y29),FALSE))</f>
        <v/>
      </c>
      <c r="AD33" s="30" t="str">
        <f>IF(ISNA(VLOOKUP($A33,'Species Library'!$A$6:$Z$150,COLUMN('Species Library'!Z29),FALSE)), "",VLOOKUP($A33,'Species Library'!$A$6:$Z$150,COLUMN('Species Library'!Z29),FALSE))</f>
        <v/>
      </c>
    </row>
    <row r="34" spans="2:30" x14ac:dyDescent="0.4">
      <c r="B34" s="30" t="str">
        <f>IF(ISNA(VLOOKUP($A34,'Species Library'!$A$6:$Z$150,COLUMN('Species Library'!B30),FALSE)), "",VLOOKUP($A34,'Species Library'!$A$6:$Z$150,COLUMN('Species Library'!B30),FALSE))</f>
        <v/>
      </c>
      <c r="C34" s="30" t="str">
        <f>IF(ISNA(VLOOKUP($A34,'Species Library'!$A$6:$Z$150,COLUMN('Species Library'!C30),FALSE)), "",VLOOKUP($A34,'Species Library'!$A$6:$Z$150,COLUMN('Species Library'!C30),FALSE))</f>
        <v/>
      </c>
      <c r="D34" s="30" t="str">
        <f>IF(ISNA(VLOOKUP($A34,'Species Library'!$A$6:$Z$150,COLUMN('Species Library'!D30),FALSE)), "",VLOOKUP($A34,'Species Library'!$A$6:$Z$150,COLUMN('Species Library'!D30),FALSE))</f>
        <v/>
      </c>
      <c r="E34" s="30" t="str">
        <f>IF(ISNA(VLOOKUP($A34,'Species Library'!$A$6:$Z$150,COLUMN('Species Library'!E30),FALSE)), "",VLOOKUP($A34,'Species Library'!$A$6:$Z$150,COLUMN('Species Library'!E30),FALSE))</f>
        <v/>
      </c>
      <c r="F34" s="30" t="str">
        <f>IF(ISNA(VLOOKUP($A34,'Species Library'!$A$6:$Z$150,COLUMN('Species Library'!F30),FALSE)), "",VLOOKUP($A34,'Species Library'!$A$6:$Z$150,COLUMN('Species Library'!F30),FALSE))</f>
        <v/>
      </c>
      <c r="G34" s="30" t="str">
        <f t="shared" si="0"/>
        <v/>
      </c>
      <c r="H34" s="30" t="str">
        <f>IF(ISNA(VLOOKUP($A34,'Species Library'!$A$6:$Z$150,COLUMN('Species Library'!G30),FALSE)), "",VLOOKUP($A34,'Species Library'!$A$6:$Z$150,COLUMN('Species Library'!G30),FALSE))</f>
        <v/>
      </c>
      <c r="I34" s="30" t="str">
        <f>IF(ISNA(VLOOKUP($A34,'Species Library'!$A$6:$Z$150,COLUMN('Species Library'!H30),FALSE)), "",VLOOKUP($A34,'Species Library'!$A$6:$Z$150,COLUMN('Species Library'!H30),FALSE))</f>
        <v/>
      </c>
      <c r="J34" s="30" t="str">
        <f>IF(ISNA(VLOOKUP($A34,'Species Library'!$A$6:$Z$150,COLUMN('Species Library'!I30),FALSE)), "",VLOOKUP($A34,'Species Library'!$A$6:$Z$150,COLUMN('Species Library'!I30),FALSE))</f>
        <v/>
      </c>
      <c r="K34" s="30" t="str">
        <f>IF(ISNA(VLOOKUP($A34,'Species Library'!$A$6:$Z$150,COLUMN('Species Library'!J30),FALSE)), "",VLOOKUP($A34,'Species Library'!$A$6:$Z$150,COLUMN('Species Library'!J30),FALSE))</f>
        <v/>
      </c>
      <c r="L34" s="30" t="str">
        <f>IF(ISNA(VLOOKUP($A34,'Species Library'!$A$6:$Z$150,COLUMN('Species Library'!K30),FALSE)), "",VLOOKUP($A34,'Species Library'!$A$6:$Z$150,COLUMN('Species Library'!K30),FALSE))</f>
        <v/>
      </c>
      <c r="M34" s="30" t="str">
        <f t="shared" si="1"/>
        <v/>
      </c>
      <c r="N34" s="30" t="str">
        <f>IF(ISNA(VLOOKUP($A34,'Species Library'!$A$6:$Z$150,COLUMN('Species Library'!L30),FALSE)), "",VLOOKUP($A34,'Species Library'!$A$6:$Z$150,COLUMN('Species Library'!L30),FALSE))</f>
        <v/>
      </c>
      <c r="O34" s="30" t="str">
        <f>IF(ISNA(VLOOKUP($A34,'Species Library'!$A$6:$Z$150,COLUMN('Species Library'!M30),FALSE)), "",VLOOKUP($A34,'Species Library'!$A$6:$Z$150,COLUMN('Species Library'!M30),FALSE))</f>
        <v/>
      </c>
      <c r="P34" s="30" t="str">
        <f>IF(ISNA(VLOOKUP($A34,'Species Library'!$A$6:$Z$150,COLUMN('Species Library'!N30),FALSE)), "",VLOOKUP($A34,'Species Library'!$A$6:$Z$150,COLUMN('Species Library'!N30),FALSE))</f>
        <v/>
      </c>
      <c r="Q34" s="30" t="str">
        <f t="shared" si="2"/>
        <v/>
      </c>
      <c r="R34" s="30" t="str">
        <f>IF(ISNA(VLOOKUP($A34,'Species Library'!$A$6:$Z$150,COLUMN('Species Library'!O30),FALSE)), "",VLOOKUP($A34,'Species Library'!$A$6:$Z$150,COLUMN('Species Library'!O30),FALSE))</f>
        <v/>
      </c>
      <c r="S34" s="30" t="str">
        <f>IF(ISNA(VLOOKUP($A34,'Species Library'!$A$6:$Z$150,COLUMN('Species Library'!P30),FALSE)), "",VLOOKUP($A34,'Species Library'!$A$6:$Z$150,COLUMN('Species Library'!P30),FALSE))</f>
        <v/>
      </c>
      <c r="T34" s="30" t="str">
        <f>IF(ISNA(VLOOKUP($A34,'Species Library'!$A$6:$Z$150,COLUMN('Species Library'!Q30),FALSE)), "",VLOOKUP($A34,'Species Library'!$A$6:$Z$150,COLUMN('Species Library'!Q30),FALSE))</f>
        <v/>
      </c>
      <c r="U34" s="30" t="str">
        <f>IF(ISNA(VLOOKUP($A34,'Species Library'!$A$6:$Z$150,COLUMN('Species Library'!R30),FALSE)), "",VLOOKUP($A34,'Species Library'!$A$6:$Z$150,COLUMN('Species Library'!R30),FALSE))</f>
        <v/>
      </c>
      <c r="V34" s="30" t="str">
        <f>IF(ISNA(VLOOKUP($A34,'Species Library'!$A$6:$Z$150,COLUMN('Species Library'!S30),FALSE)), "",VLOOKUP($A34,'Species Library'!$A$6:$Z$150,COLUMN('Species Library'!S30),FALSE))</f>
        <v/>
      </c>
      <c r="W34" s="30" t="str">
        <f>IF(ISNA(VLOOKUP($A34,'Species Library'!$A$6:$Z$150,COLUMN('Species Library'!T30),FALSE)), "",VLOOKUP($A34,'Species Library'!$A$6:$Z$150,COLUMN('Species Library'!T30),FALSE))</f>
        <v/>
      </c>
      <c r="X34" s="30" t="str">
        <f t="shared" si="3"/>
        <v/>
      </c>
      <c r="Y34" s="30" t="str">
        <f>IF(ISNA(VLOOKUP($A34,'Species Library'!$A$6:$Z$150,COLUMN('Species Library'!U30),FALSE)), "",VLOOKUP($A34,'Species Library'!$A$6:$Z$150,COLUMN('Species Library'!U30),FALSE))</f>
        <v/>
      </c>
      <c r="Z34" s="30" t="str">
        <f>IF(ISNA(VLOOKUP($A34,'Species Library'!$A$6:$Z$150,COLUMN('Species Library'!V30),FALSE)), "",VLOOKUP($A34,'Species Library'!$A$6:$Z$150,COLUMN('Species Library'!V30),FALSE))</f>
        <v/>
      </c>
      <c r="AA34" s="30" t="str">
        <f>IF(ISNA(VLOOKUP($A34,'Species Library'!$A$6:$Z$150,COLUMN('Species Library'!W30),FALSE)), "",VLOOKUP($A34,'Species Library'!$A$6:$Z$150,COLUMN('Species Library'!W30),FALSE))</f>
        <v/>
      </c>
      <c r="AB34" s="30" t="str">
        <f>IF(ISNA(VLOOKUP($A34,'Species Library'!$A$6:$Z$150,COLUMN('Species Library'!X30),FALSE)), "",VLOOKUP($A34,'Species Library'!$A$6:$Z$150,COLUMN('Species Library'!X30),FALSE))</f>
        <v/>
      </c>
      <c r="AC34" s="30" t="str">
        <f>IF(ISNA(VLOOKUP($A34,'Species Library'!$A$6:$Z$150,COLUMN('Species Library'!Y30),FALSE)), "",VLOOKUP($A34,'Species Library'!$A$6:$Z$150,COLUMN('Species Library'!Y30),FALSE))</f>
        <v/>
      </c>
      <c r="AD34" s="30" t="str">
        <f>IF(ISNA(VLOOKUP($A34,'Species Library'!$A$6:$Z$150,COLUMN('Species Library'!Z30),FALSE)), "",VLOOKUP($A34,'Species Library'!$A$6:$Z$150,COLUMN('Species Library'!Z30),FALSE))</f>
        <v/>
      </c>
    </row>
    <row r="35" spans="2:30" x14ac:dyDescent="0.4">
      <c r="B35" s="30" t="str">
        <f>IF(ISNA(VLOOKUP($A35,'Species Library'!$A$6:$Z$150,COLUMN('Species Library'!B31),FALSE)), "",VLOOKUP($A35,'Species Library'!$A$6:$Z$150,COLUMN('Species Library'!B31),FALSE))</f>
        <v/>
      </c>
      <c r="C35" s="30" t="str">
        <f>IF(ISNA(VLOOKUP($A35,'Species Library'!$A$6:$Z$150,COLUMN('Species Library'!C31),FALSE)), "",VLOOKUP($A35,'Species Library'!$A$6:$Z$150,COLUMN('Species Library'!C31),FALSE))</f>
        <v/>
      </c>
      <c r="D35" s="30" t="str">
        <f>IF(ISNA(VLOOKUP($A35,'Species Library'!$A$6:$Z$150,COLUMN('Species Library'!D31),FALSE)), "",VLOOKUP($A35,'Species Library'!$A$6:$Z$150,COLUMN('Species Library'!D31),FALSE))</f>
        <v/>
      </c>
      <c r="E35" s="30" t="str">
        <f>IF(ISNA(VLOOKUP($A35,'Species Library'!$A$6:$Z$150,COLUMN('Species Library'!E31),FALSE)), "",VLOOKUP($A35,'Species Library'!$A$6:$Z$150,COLUMN('Species Library'!E31),FALSE))</f>
        <v/>
      </c>
      <c r="F35" s="30" t="str">
        <f>IF(ISNA(VLOOKUP($A35,'Species Library'!$A$6:$Z$150,COLUMN('Species Library'!F31),FALSE)), "",VLOOKUP($A35,'Species Library'!$A$6:$Z$150,COLUMN('Species Library'!F31),FALSE))</f>
        <v/>
      </c>
      <c r="G35" s="30" t="str">
        <f t="shared" si="0"/>
        <v/>
      </c>
      <c r="H35" s="30" t="str">
        <f>IF(ISNA(VLOOKUP($A35,'Species Library'!$A$6:$Z$150,COLUMN('Species Library'!G31),FALSE)), "",VLOOKUP($A35,'Species Library'!$A$6:$Z$150,COLUMN('Species Library'!G31),FALSE))</f>
        <v/>
      </c>
      <c r="I35" s="30" t="str">
        <f>IF(ISNA(VLOOKUP($A35,'Species Library'!$A$6:$Z$150,COLUMN('Species Library'!H31),FALSE)), "",VLOOKUP($A35,'Species Library'!$A$6:$Z$150,COLUMN('Species Library'!H31),FALSE))</f>
        <v/>
      </c>
      <c r="J35" s="30" t="str">
        <f>IF(ISNA(VLOOKUP($A35,'Species Library'!$A$6:$Z$150,COLUMN('Species Library'!I31),FALSE)), "",VLOOKUP($A35,'Species Library'!$A$6:$Z$150,COLUMN('Species Library'!I31),FALSE))</f>
        <v/>
      </c>
      <c r="K35" s="30" t="str">
        <f>IF(ISNA(VLOOKUP($A35,'Species Library'!$A$6:$Z$150,COLUMN('Species Library'!J31),FALSE)), "",VLOOKUP($A35,'Species Library'!$A$6:$Z$150,COLUMN('Species Library'!J31),FALSE))</f>
        <v/>
      </c>
      <c r="L35" s="30" t="str">
        <f>IF(ISNA(VLOOKUP($A35,'Species Library'!$A$6:$Z$150,COLUMN('Species Library'!K31),FALSE)), "",VLOOKUP($A35,'Species Library'!$A$6:$Z$150,COLUMN('Species Library'!K31),FALSE))</f>
        <v/>
      </c>
      <c r="M35" s="30" t="str">
        <f t="shared" si="1"/>
        <v/>
      </c>
      <c r="N35" s="30" t="str">
        <f>IF(ISNA(VLOOKUP($A35,'Species Library'!$A$6:$Z$150,COLUMN('Species Library'!L31),FALSE)), "",VLOOKUP($A35,'Species Library'!$A$6:$Z$150,COLUMN('Species Library'!L31),FALSE))</f>
        <v/>
      </c>
      <c r="O35" s="30" t="str">
        <f>IF(ISNA(VLOOKUP($A35,'Species Library'!$A$6:$Z$150,COLUMN('Species Library'!M31),FALSE)), "",VLOOKUP($A35,'Species Library'!$A$6:$Z$150,COLUMN('Species Library'!M31),FALSE))</f>
        <v/>
      </c>
      <c r="P35" s="30" t="str">
        <f>IF(ISNA(VLOOKUP($A35,'Species Library'!$A$6:$Z$150,COLUMN('Species Library'!N31),FALSE)), "",VLOOKUP($A35,'Species Library'!$A$6:$Z$150,COLUMN('Species Library'!N31),FALSE))</f>
        <v/>
      </c>
      <c r="Q35" s="30" t="str">
        <f t="shared" si="2"/>
        <v/>
      </c>
      <c r="R35" s="30" t="str">
        <f>IF(ISNA(VLOOKUP($A35,'Species Library'!$A$6:$Z$150,COLUMN('Species Library'!O31),FALSE)), "",VLOOKUP($A35,'Species Library'!$A$6:$Z$150,COLUMN('Species Library'!O31),FALSE))</f>
        <v/>
      </c>
      <c r="S35" s="30" t="str">
        <f>IF(ISNA(VLOOKUP($A35,'Species Library'!$A$6:$Z$150,COLUMN('Species Library'!P31),FALSE)), "",VLOOKUP($A35,'Species Library'!$A$6:$Z$150,COLUMN('Species Library'!P31),FALSE))</f>
        <v/>
      </c>
      <c r="T35" s="30" t="str">
        <f>IF(ISNA(VLOOKUP($A35,'Species Library'!$A$6:$Z$150,COLUMN('Species Library'!Q31),FALSE)), "",VLOOKUP($A35,'Species Library'!$A$6:$Z$150,COLUMN('Species Library'!Q31),FALSE))</f>
        <v/>
      </c>
      <c r="U35" s="30" t="str">
        <f>IF(ISNA(VLOOKUP($A35,'Species Library'!$A$6:$Z$150,COLUMN('Species Library'!R31),FALSE)), "",VLOOKUP($A35,'Species Library'!$A$6:$Z$150,COLUMN('Species Library'!R31),FALSE))</f>
        <v/>
      </c>
      <c r="V35" s="30" t="str">
        <f>IF(ISNA(VLOOKUP($A35,'Species Library'!$A$6:$Z$150,COLUMN('Species Library'!S31),FALSE)), "",VLOOKUP($A35,'Species Library'!$A$6:$Z$150,COLUMN('Species Library'!S31),FALSE))</f>
        <v/>
      </c>
      <c r="W35" s="30" t="str">
        <f>IF(ISNA(VLOOKUP($A35,'Species Library'!$A$6:$Z$150,COLUMN('Species Library'!T31),FALSE)), "",VLOOKUP($A35,'Species Library'!$A$6:$Z$150,COLUMN('Species Library'!T31),FALSE))</f>
        <v/>
      </c>
      <c r="X35" s="30" t="str">
        <f t="shared" si="3"/>
        <v/>
      </c>
      <c r="Y35" s="30" t="str">
        <f>IF(ISNA(VLOOKUP($A35,'Species Library'!$A$6:$Z$150,COLUMN('Species Library'!U31),FALSE)), "",VLOOKUP($A35,'Species Library'!$A$6:$Z$150,COLUMN('Species Library'!U31),FALSE))</f>
        <v/>
      </c>
      <c r="Z35" s="30" t="str">
        <f>IF(ISNA(VLOOKUP($A35,'Species Library'!$A$6:$Z$150,COLUMN('Species Library'!V31),FALSE)), "",VLOOKUP($A35,'Species Library'!$A$6:$Z$150,COLUMN('Species Library'!V31),FALSE))</f>
        <v/>
      </c>
      <c r="AA35" s="30" t="str">
        <f>IF(ISNA(VLOOKUP($A35,'Species Library'!$A$6:$Z$150,COLUMN('Species Library'!W31),FALSE)), "",VLOOKUP($A35,'Species Library'!$A$6:$Z$150,COLUMN('Species Library'!W31),FALSE))</f>
        <v/>
      </c>
      <c r="AB35" s="30" t="str">
        <f>IF(ISNA(VLOOKUP($A35,'Species Library'!$A$6:$Z$150,COLUMN('Species Library'!X31),FALSE)), "",VLOOKUP($A35,'Species Library'!$A$6:$Z$150,COLUMN('Species Library'!X31),FALSE))</f>
        <v/>
      </c>
      <c r="AC35" s="30" t="str">
        <f>IF(ISNA(VLOOKUP($A35,'Species Library'!$A$6:$Z$150,COLUMN('Species Library'!Y31),FALSE)), "",VLOOKUP($A35,'Species Library'!$A$6:$Z$150,COLUMN('Species Library'!Y31),FALSE))</f>
        <v/>
      </c>
      <c r="AD35" s="30" t="str">
        <f>IF(ISNA(VLOOKUP($A35,'Species Library'!$A$6:$Z$150,COLUMN('Species Library'!Z31),FALSE)), "",VLOOKUP($A35,'Species Library'!$A$6:$Z$150,COLUMN('Species Library'!Z31),FALSE))</f>
        <v/>
      </c>
    </row>
    <row r="36" spans="2:30" x14ac:dyDescent="0.4">
      <c r="B36" s="30" t="str">
        <f>IF(ISNA(VLOOKUP($A36,'Species Library'!$A$6:$Z$150,COLUMN('Species Library'!B32),FALSE)), "",VLOOKUP($A36,'Species Library'!$A$6:$Z$150,COLUMN('Species Library'!B32),FALSE))</f>
        <v/>
      </c>
      <c r="C36" s="30" t="str">
        <f>IF(ISNA(VLOOKUP($A36,'Species Library'!$A$6:$Z$150,COLUMN('Species Library'!C32),FALSE)), "",VLOOKUP($A36,'Species Library'!$A$6:$Z$150,COLUMN('Species Library'!C32),FALSE))</f>
        <v/>
      </c>
      <c r="D36" s="30" t="str">
        <f>IF(ISNA(VLOOKUP($A36,'Species Library'!$A$6:$Z$150,COLUMN('Species Library'!D32),FALSE)), "",VLOOKUP($A36,'Species Library'!$A$6:$Z$150,COLUMN('Species Library'!D32),FALSE))</f>
        <v/>
      </c>
      <c r="E36" s="30" t="str">
        <f>IF(ISNA(VLOOKUP($A36,'Species Library'!$A$6:$Z$150,COLUMN('Species Library'!E32),FALSE)), "",VLOOKUP($A36,'Species Library'!$A$6:$Z$150,COLUMN('Species Library'!E32),FALSE))</f>
        <v/>
      </c>
      <c r="F36" s="30" t="str">
        <f>IF(ISNA(VLOOKUP($A36,'Species Library'!$A$6:$Z$150,COLUMN('Species Library'!F32),FALSE)), "",VLOOKUP($A36,'Species Library'!$A$6:$Z$150,COLUMN('Species Library'!F32),FALSE))</f>
        <v/>
      </c>
      <c r="G36" s="30" t="str">
        <f t="shared" si="0"/>
        <v/>
      </c>
      <c r="H36" s="30" t="str">
        <f>IF(ISNA(VLOOKUP($A36,'Species Library'!$A$6:$Z$150,COLUMN('Species Library'!G32),FALSE)), "",VLOOKUP($A36,'Species Library'!$A$6:$Z$150,COLUMN('Species Library'!G32),FALSE))</f>
        <v/>
      </c>
      <c r="I36" s="30" t="str">
        <f>IF(ISNA(VLOOKUP($A36,'Species Library'!$A$6:$Z$150,COLUMN('Species Library'!H32),FALSE)), "",VLOOKUP($A36,'Species Library'!$A$6:$Z$150,COLUMN('Species Library'!H32),FALSE))</f>
        <v/>
      </c>
      <c r="J36" s="30" t="str">
        <f>IF(ISNA(VLOOKUP($A36,'Species Library'!$A$6:$Z$150,COLUMN('Species Library'!I32),FALSE)), "",VLOOKUP($A36,'Species Library'!$A$6:$Z$150,COLUMN('Species Library'!I32),FALSE))</f>
        <v/>
      </c>
      <c r="K36" s="30" t="str">
        <f>IF(ISNA(VLOOKUP($A36,'Species Library'!$A$6:$Z$150,COLUMN('Species Library'!J32),FALSE)), "",VLOOKUP($A36,'Species Library'!$A$6:$Z$150,COLUMN('Species Library'!J32),FALSE))</f>
        <v/>
      </c>
      <c r="L36" s="30" t="str">
        <f>IF(ISNA(VLOOKUP($A36,'Species Library'!$A$6:$Z$150,COLUMN('Species Library'!K32),FALSE)), "",VLOOKUP($A36,'Species Library'!$A$6:$Z$150,COLUMN('Species Library'!K32),FALSE))</f>
        <v/>
      </c>
      <c r="M36" s="30" t="str">
        <f t="shared" si="1"/>
        <v/>
      </c>
      <c r="N36" s="30" t="str">
        <f>IF(ISNA(VLOOKUP($A36,'Species Library'!$A$6:$Z$150,COLUMN('Species Library'!L32),FALSE)), "",VLOOKUP($A36,'Species Library'!$A$6:$Z$150,COLUMN('Species Library'!L32),FALSE))</f>
        <v/>
      </c>
      <c r="O36" s="30" t="str">
        <f>IF(ISNA(VLOOKUP($A36,'Species Library'!$A$6:$Z$150,COLUMN('Species Library'!M32),FALSE)), "",VLOOKUP($A36,'Species Library'!$A$6:$Z$150,COLUMN('Species Library'!M32),FALSE))</f>
        <v/>
      </c>
      <c r="P36" s="30" t="str">
        <f>IF(ISNA(VLOOKUP($A36,'Species Library'!$A$6:$Z$150,COLUMN('Species Library'!N32),FALSE)), "",VLOOKUP($A36,'Species Library'!$A$6:$Z$150,COLUMN('Species Library'!N32),FALSE))</f>
        <v/>
      </c>
      <c r="Q36" s="30" t="str">
        <f t="shared" si="2"/>
        <v/>
      </c>
      <c r="R36" s="30" t="str">
        <f>IF(ISNA(VLOOKUP($A36,'Species Library'!$A$6:$Z$150,COLUMN('Species Library'!O32),FALSE)), "",VLOOKUP($A36,'Species Library'!$A$6:$Z$150,COLUMN('Species Library'!O32),FALSE))</f>
        <v/>
      </c>
      <c r="S36" s="30" t="str">
        <f>IF(ISNA(VLOOKUP($A36,'Species Library'!$A$6:$Z$150,COLUMN('Species Library'!P32),FALSE)), "",VLOOKUP($A36,'Species Library'!$A$6:$Z$150,COLUMN('Species Library'!P32),FALSE))</f>
        <v/>
      </c>
      <c r="T36" s="30" t="str">
        <f>IF(ISNA(VLOOKUP($A36,'Species Library'!$A$6:$Z$150,COLUMN('Species Library'!Q32),FALSE)), "",VLOOKUP($A36,'Species Library'!$A$6:$Z$150,COLUMN('Species Library'!Q32),FALSE))</f>
        <v/>
      </c>
      <c r="U36" s="30" t="str">
        <f>IF(ISNA(VLOOKUP($A36,'Species Library'!$A$6:$Z$150,COLUMN('Species Library'!R32),FALSE)), "",VLOOKUP($A36,'Species Library'!$A$6:$Z$150,COLUMN('Species Library'!R32),FALSE))</f>
        <v/>
      </c>
      <c r="V36" s="30" t="str">
        <f>IF(ISNA(VLOOKUP($A36,'Species Library'!$A$6:$Z$150,COLUMN('Species Library'!S32),FALSE)), "",VLOOKUP($A36,'Species Library'!$A$6:$Z$150,COLUMN('Species Library'!S32),FALSE))</f>
        <v/>
      </c>
      <c r="W36" s="30" t="str">
        <f>IF(ISNA(VLOOKUP($A36,'Species Library'!$A$6:$Z$150,COLUMN('Species Library'!T32),FALSE)), "",VLOOKUP($A36,'Species Library'!$A$6:$Z$150,COLUMN('Species Library'!T32),FALSE))</f>
        <v/>
      </c>
      <c r="X36" s="30" t="str">
        <f t="shared" si="3"/>
        <v/>
      </c>
      <c r="Y36" s="30" t="str">
        <f>IF(ISNA(VLOOKUP($A36,'Species Library'!$A$6:$Z$150,COLUMN('Species Library'!U32),FALSE)), "",VLOOKUP($A36,'Species Library'!$A$6:$Z$150,COLUMN('Species Library'!U32),FALSE))</f>
        <v/>
      </c>
      <c r="Z36" s="30" t="str">
        <f>IF(ISNA(VLOOKUP($A36,'Species Library'!$A$6:$Z$150,COLUMN('Species Library'!V32),FALSE)), "",VLOOKUP($A36,'Species Library'!$A$6:$Z$150,COLUMN('Species Library'!V32),FALSE))</f>
        <v/>
      </c>
      <c r="AA36" s="30" t="str">
        <f>IF(ISNA(VLOOKUP($A36,'Species Library'!$A$6:$Z$150,COLUMN('Species Library'!W32),FALSE)), "",VLOOKUP($A36,'Species Library'!$A$6:$Z$150,COLUMN('Species Library'!W32),FALSE))</f>
        <v/>
      </c>
      <c r="AB36" s="30" t="str">
        <f>IF(ISNA(VLOOKUP($A36,'Species Library'!$A$6:$Z$150,COLUMN('Species Library'!X32),FALSE)), "",VLOOKUP($A36,'Species Library'!$A$6:$Z$150,COLUMN('Species Library'!X32),FALSE))</f>
        <v/>
      </c>
      <c r="AC36" s="30" t="str">
        <f>IF(ISNA(VLOOKUP($A36,'Species Library'!$A$6:$Z$150,COLUMN('Species Library'!Y32),FALSE)), "",VLOOKUP($A36,'Species Library'!$A$6:$Z$150,COLUMN('Species Library'!Y32),FALSE))</f>
        <v/>
      </c>
      <c r="AD36" s="30" t="str">
        <f>IF(ISNA(VLOOKUP($A36,'Species Library'!$A$6:$Z$150,COLUMN('Species Library'!Z32),FALSE)), "",VLOOKUP($A36,'Species Library'!$A$6:$Z$150,COLUMN('Species Library'!Z32),FALSE))</f>
        <v/>
      </c>
    </row>
    <row r="37" spans="2:30" x14ac:dyDescent="0.4">
      <c r="B37" s="30" t="str">
        <f>IF(ISNA(VLOOKUP($A37,'Species Library'!$A$6:$Z$150,COLUMN('Species Library'!B33),FALSE)), "",VLOOKUP($A37,'Species Library'!$A$6:$Z$150,COLUMN('Species Library'!B33),FALSE))</f>
        <v/>
      </c>
      <c r="C37" s="30" t="str">
        <f>IF(ISNA(VLOOKUP($A37,'Species Library'!$A$6:$Z$150,COLUMN('Species Library'!C33),FALSE)), "",VLOOKUP($A37,'Species Library'!$A$6:$Z$150,COLUMN('Species Library'!C33),FALSE))</f>
        <v/>
      </c>
      <c r="D37" s="30" t="str">
        <f>IF(ISNA(VLOOKUP($A37,'Species Library'!$A$6:$Z$150,COLUMN('Species Library'!D33),FALSE)), "",VLOOKUP($A37,'Species Library'!$A$6:$Z$150,COLUMN('Species Library'!D33),FALSE))</f>
        <v/>
      </c>
      <c r="E37" s="30" t="str">
        <f>IF(ISNA(VLOOKUP($A37,'Species Library'!$A$6:$Z$150,COLUMN('Species Library'!E33),FALSE)), "",VLOOKUP($A37,'Species Library'!$A$6:$Z$150,COLUMN('Species Library'!E33),FALSE))</f>
        <v/>
      </c>
      <c r="F37" s="30" t="str">
        <f>IF(ISNA(VLOOKUP($A37,'Species Library'!$A$6:$Z$150,COLUMN('Species Library'!F33),FALSE)), "",VLOOKUP($A37,'Species Library'!$A$6:$Z$150,COLUMN('Species Library'!F33),FALSE))</f>
        <v/>
      </c>
      <c r="G37" s="30" t="str">
        <f t="shared" si="0"/>
        <v/>
      </c>
      <c r="H37" s="30" t="str">
        <f>IF(ISNA(VLOOKUP($A37,'Species Library'!$A$6:$Z$150,COLUMN('Species Library'!G33),FALSE)), "",VLOOKUP($A37,'Species Library'!$A$6:$Z$150,COLUMN('Species Library'!G33),FALSE))</f>
        <v/>
      </c>
      <c r="I37" s="30" t="str">
        <f>IF(ISNA(VLOOKUP($A37,'Species Library'!$A$6:$Z$150,COLUMN('Species Library'!H33),FALSE)), "",VLOOKUP($A37,'Species Library'!$A$6:$Z$150,COLUMN('Species Library'!H33),FALSE))</f>
        <v/>
      </c>
      <c r="J37" s="30" t="str">
        <f>IF(ISNA(VLOOKUP($A37,'Species Library'!$A$6:$Z$150,COLUMN('Species Library'!I33),FALSE)), "",VLOOKUP($A37,'Species Library'!$A$6:$Z$150,COLUMN('Species Library'!I33),FALSE))</f>
        <v/>
      </c>
      <c r="K37" s="30" t="str">
        <f>IF(ISNA(VLOOKUP($A37,'Species Library'!$A$6:$Z$150,COLUMN('Species Library'!J33),FALSE)), "",VLOOKUP($A37,'Species Library'!$A$6:$Z$150,COLUMN('Species Library'!J33),FALSE))</f>
        <v/>
      </c>
      <c r="L37" s="30" t="str">
        <f>IF(ISNA(VLOOKUP($A37,'Species Library'!$A$6:$Z$150,COLUMN('Species Library'!K33),FALSE)), "",VLOOKUP($A37,'Species Library'!$A$6:$Z$150,COLUMN('Species Library'!K33),FALSE))</f>
        <v/>
      </c>
      <c r="M37" s="30" t="str">
        <f t="shared" si="1"/>
        <v/>
      </c>
      <c r="N37" s="30" t="str">
        <f>IF(ISNA(VLOOKUP($A37,'Species Library'!$A$6:$Z$150,COLUMN('Species Library'!L33),FALSE)), "",VLOOKUP($A37,'Species Library'!$A$6:$Z$150,COLUMN('Species Library'!L33),FALSE))</f>
        <v/>
      </c>
      <c r="O37" s="30" t="str">
        <f>IF(ISNA(VLOOKUP($A37,'Species Library'!$A$6:$Z$150,COLUMN('Species Library'!M33),FALSE)), "",VLOOKUP($A37,'Species Library'!$A$6:$Z$150,COLUMN('Species Library'!M33),FALSE))</f>
        <v/>
      </c>
      <c r="P37" s="30" t="str">
        <f>IF(ISNA(VLOOKUP($A37,'Species Library'!$A$6:$Z$150,COLUMN('Species Library'!N33),FALSE)), "",VLOOKUP($A37,'Species Library'!$A$6:$Z$150,COLUMN('Species Library'!N33),FALSE))</f>
        <v/>
      </c>
      <c r="Q37" s="30" t="str">
        <f t="shared" si="2"/>
        <v/>
      </c>
      <c r="R37" s="30" t="str">
        <f>IF(ISNA(VLOOKUP($A37,'Species Library'!$A$6:$Z$150,COLUMN('Species Library'!O33),FALSE)), "",VLOOKUP($A37,'Species Library'!$A$6:$Z$150,COLUMN('Species Library'!O33),FALSE))</f>
        <v/>
      </c>
      <c r="S37" s="30" t="str">
        <f>IF(ISNA(VLOOKUP($A37,'Species Library'!$A$6:$Z$150,COLUMN('Species Library'!P33),FALSE)), "",VLOOKUP($A37,'Species Library'!$A$6:$Z$150,COLUMN('Species Library'!P33),FALSE))</f>
        <v/>
      </c>
      <c r="T37" s="30" t="str">
        <f>IF(ISNA(VLOOKUP($A37,'Species Library'!$A$6:$Z$150,COLUMN('Species Library'!Q33),FALSE)), "",VLOOKUP($A37,'Species Library'!$A$6:$Z$150,COLUMN('Species Library'!Q33),FALSE))</f>
        <v/>
      </c>
      <c r="U37" s="30" t="str">
        <f>IF(ISNA(VLOOKUP($A37,'Species Library'!$A$6:$Z$150,COLUMN('Species Library'!R33),FALSE)), "",VLOOKUP($A37,'Species Library'!$A$6:$Z$150,COLUMN('Species Library'!R33),FALSE))</f>
        <v/>
      </c>
      <c r="V37" s="30" t="str">
        <f>IF(ISNA(VLOOKUP($A37,'Species Library'!$A$6:$Z$150,COLUMN('Species Library'!S33),FALSE)), "",VLOOKUP($A37,'Species Library'!$A$6:$Z$150,COLUMN('Species Library'!S33),FALSE))</f>
        <v/>
      </c>
      <c r="W37" s="30" t="str">
        <f>IF(ISNA(VLOOKUP($A37,'Species Library'!$A$6:$Z$150,COLUMN('Species Library'!T33),FALSE)), "",VLOOKUP($A37,'Species Library'!$A$6:$Z$150,COLUMN('Species Library'!T33),FALSE))</f>
        <v/>
      </c>
      <c r="X37" s="30" t="str">
        <f t="shared" si="3"/>
        <v/>
      </c>
      <c r="Y37" s="30" t="str">
        <f>IF(ISNA(VLOOKUP($A37,'Species Library'!$A$6:$Z$150,COLUMN('Species Library'!U33),FALSE)), "",VLOOKUP($A37,'Species Library'!$A$6:$Z$150,COLUMN('Species Library'!U33),FALSE))</f>
        <v/>
      </c>
      <c r="Z37" s="30" t="str">
        <f>IF(ISNA(VLOOKUP($A37,'Species Library'!$A$6:$Z$150,COLUMN('Species Library'!V33),FALSE)), "",VLOOKUP($A37,'Species Library'!$A$6:$Z$150,COLUMN('Species Library'!V33),FALSE))</f>
        <v/>
      </c>
      <c r="AA37" s="30" t="str">
        <f>IF(ISNA(VLOOKUP($A37,'Species Library'!$A$6:$Z$150,COLUMN('Species Library'!W33),FALSE)), "",VLOOKUP($A37,'Species Library'!$A$6:$Z$150,COLUMN('Species Library'!W33),FALSE))</f>
        <v/>
      </c>
      <c r="AB37" s="30" t="str">
        <f>IF(ISNA(VLOOKUP($A37,'Species Library'!$A$6:$Z$150,COLUMN('Species Library'!X33),FALSE)), "",VLOOKUP($A37,'Species Library'!$A$6:$Z$150,COLUMN('Species Library'!X33),FALSE))</f>
        <v/>
      </c>
      <c r="AC37" s="30" t="str">
        <f>IF(ISNA(VLOOKUP($A37,'Species Library'!$A$6:$Z$150,COLUMN('Species Library'!Y33),FALSE)), "",VLOOKUP($A37,'Species Library'!$A$6:$Z$150,COLUMN('Species Library'!Y33),FALSE))</f>
        <v/>
      </c>
      <c r="AD37" s="30" t="str">
        <f>IF(ISNA(VLOOKUP($A37,'Species Library'!$A$6:$Z$150,COLUMN('Species Library'!Z33),FALSE)), "",VLOOKUP($A37,'Species Library'!$A$6:$Z$150,COLUMN('Species Library'!Z33),FALSE))</f>
        <v/>
      </c>
    </row>
    <row r="38" spans="2:30" x14ac:dyDescent="0.4">
      <c r="B38" s="30" t="str">
        <f>IF(ISNA(VLOOKUP($A38,'Species Library'!$A$6:$Z$150,COLUMN('Species Library'!B34),FALSE)), "",VLOOKUP($A38,'Species Library'!$A$6:$Z$150,COLUMN('Species Library'!B34),FALSE))</f>
        <v/>
      </c>
      <c r="C38" s="30" t="str">
        <f>IF(ISNA(VLOOKUP($A38,'Species Library'!$A$6:$Z$150,COLUMN('Species Library'!C34),FALSE)), "",VLOOKUP($A38,'Species Library'!$A$6:$Z$150,COLUMN('Species Library'!C34),FALSE))</f>
        <v/>
      </c>
      <c r="D38" s="30" t="str">
        <f>IF(ISNA(VLOOKUP($A38,'Species Library'!$A$6:$Z$150,COLUMN('Species Library'!D34),FALSE)), "",VLOOKUP($A38,'Species Library'!$A$6:$Z$150,COLUMN('Species Library'!D34),FALSE))</f>
        <v/>
      </c>
      <c r="E38" s="30" t="str">
        <f>IF(ISNA(VLOOKUP($A38,'Species Library'!$A$6:$Z$150,COLUMN('Species Library'!E34),FALSE)), "",VLOOKUP($A38,'Species Library'!$A$6:$Z$150,COLUMN('Species Library'!E34),FALSE))</f>
        <v/>
      </c>
      <c r="F38" s="30" t="str">
        <f>IF(ISNA(VLOOKUP($A38,'Species Library'!$A$6:$Z$150,COLUMN('Species Library'!F34),FALSE)), "",VLOOKUP($A38,'Species Library'!$A$6:$Z$150,COLUMN('Species Library'!F34),FALSE))</f>
        <v/>
      </c>
      <c r="G38" s="30" t="str">
        <f t="shared" si="0"/>
        <v/>
      </c>
      <c r="H38" s="30" t="str">
        <f>IF(ISNA(VLOOKUP($A38,'Species Library'!$A$6:$Z$150,COLUMN('Species Library'!G34),FALSE)), "",VLOOKUP($A38,'Species Library'!$A$6:$Z$150,COLUMN('Species Library'!G34),FALSE))</f>
        <v/>
      </c>
      <c r="I38" s="30" t="str">
        <f>IF(ISNA(VLOOKUP($A38,'Species Library'!$A$6:$Z$150,COLUMN('Species Library'!H34),FALSE)), "",VLOOKUP($A38,'Species Library'!$A$6:$Z$150,COLUMN('Species Library'!H34),FALSE))</f>
        <v/>
      </c>
      <c r="J38" s="30" t="str">
        <f>IF(ISNA(VLOOKUP($A38,'Species Library'!$A$6:$Z$150,COLUMN('Species Library'!I34),FALSE)), "",VLOOKUP($A38,'Species Library'!$A$6:$Z$150,COLUMN('Species Library'!I34),FALSE))</f>
        <v/>
      </c>
      <c r="K38" s="30" t="str">
        <f>IF(ISNA(VLOOKUP($A38,'Species Library'!$A$6:$Z$150,COLUMN('Species Library'!J34),FALSE)), "",VLOOKUP($A38,'Species Library'!$A$6:$Z$150,COLUMN('Species Library'!J34),FALSE))</f>
        <v/>
      </c>
      <c r="L38" s="30" t="str">
        <f>IF(ISNA(VLOOKUP($A38,'Species Library'!$A$6:$Z$150,COLUMN('Species Library'!K34),FALSE)), "",VLOOKUP($A38,'Species Library'!$A$6:$Z$150,COLUMN('Species Library'!K34),FALSE))</f>
        <v/>
      </c>
      <c r="M38" s="30" t="str">
        <f t="shared" si="1"/>
        <v/>
      </c>
      <c r="N38" s="30" t="str">
        <f>IF(ISNA(VLOOKUP($A38,'Species Library'!$A$6:$Z$150,COLUMN('Species Library'!L34),FALSE)), "",VLOOKUP($A38,'Species Library'!$A$6:$Z$150,COLUMN('Species Library'!L34),FALSE))</f>
        <v/>
      </c>
      <c r="O38" s="30" t="str">
        <f>IF(ISNA(VLOOKUP($A38,'Species Library'!$A$6:$Z$150,COLUMN('Species Library'!M34),FALSE)), "",VLOOKUP($A38,'Species Library'!$A$6:$Z$150,COLUMN('Species Library'!M34),FALSE))</f>
        <v/>
      </c>
      <c r="P38" s="30" t="str">
        <f>IF(ISNA(VLOOKUP($A38,'Species Library'!$A$6:$Z$150,COLUMN('Species Library'!N34),FALSE)), "",VLOOKUP($A38,'Species Library'!$A$6:$Z$150,COLUMN('Species Library'!N34),FALSE))</f>
        <v/>
      </c>
      <c r="Q38" s="30" t="str">
        <f t="shared" si="2"/>
        <v/>
      </c>
      <c r="R38" s="30" t="str">
        <f>IF(ISNA(VLOOKUP($A38,'Species Library'!$A$6:$Z$150,COLUMN('Species Library'!O34),FALSE)), "",VLOOKUP($A38,'Species Library'!$A$6:$Z$150,COLUMN('Species Library'!O34),FALSE))</f>
        <v/>
      </c>
      <c r="S38" s="30" t="str">
        <f>IF(ISNA(VLOOKUP($A38,'Species Library'!$A$6:$Z$150,COLUMN('Species Library'!P34),FALSE)), "",VLOOKUP($A38,'Species Library'!$A$6:$Z$150,COLUMN('Species Library'!P34),FALSE))</f>
        <v/>
      </c>
      <c r="T38" s="30" t="str">
        <f>IF(ISNA(VLOOKUP($A38,'Species Library'!$A$6:$Z$150,COLUMN('Species Library'!Q34),FALSE)), "",VLOOKUP($A38,'Species Library'!$A$6:$Z$150,COLUMN('Species Library'!Q34),FALSE))</f>
        <v/>
      </c>
      <c r="U38" s="30" t="str">
        <f>IF(ISNA(VLOOKUP($A38,'Species Library'!$A$6:$Z$150,COLUMN('Species Library'!R34),FALSE)), "",VLOOKUP($A38,'Species Library'!$A$6:$Z$150,COLUMN('Species Library'!R34),FALSE))</f>
        <v/>
      </c>
      <c r="V38" s="30" t="str">
        <f>IF(ISNA(VLOOKUP($A38,'Species Library'!$A$6:$Z$150,COLUMN('Species Library'!S34),FALSE)), "",VLOOKUP($A38,'Species Library'!$A$6:$Z$150,COLUMN('Species Library'!S34),FALSE))</f>
        <v/>
      </c>
      <c r="W38" s="30" t="str">
        <f>IF(ISNA(VLOOKUP($A38,'Species Library'!$A$6:$Z$150,COLUMN('Species Library'!T34),FALSE)), "",VLOOKUP($A38,'Species Library'!$A$6:$Z$150,COLUMN('Species Library'!T34),FALSE))</f>
        <v/>
      </c>
      <c r="X38" s="30" t="str">
        <f t="shared" si="3"/>
        <v/>
      </c>
      <c r="Y38" s="30" t="str">
        <f>IF(ISNA(VLOOKUP($A38,'Species Library'!$A$6:$Z$150,COLUMN('Species Library'!U34),FALSE)), "",VLOOKUP($A38,'Species Library'!$A$6:$Z$150,COLUMN('Species Library'!U34),FALSE))</f>
        <v/>
      </c>
      <c r="Z38" s="30" t="str">
        <f>IF(ISNA(VLOOKUP($A38,'Species Library'!$A$6:$Z$150,COLUMN('Species Library'!V34),FALSE)), "",VLOOKUP($A38,'Species Library'!$A$6:$Z$150,COLUMN('Species Library'!V34),FALSE))</f>
        <v/>
      </c>
      <c r="AA38" s="30" t="str">
        <f>IF(ISNA(VLOOKUP($A38,'Species Library'!$A$6:$Z$150,COLUMN('Species Library'!W34),FALSE)), "",VLOOKUP($A38,'Species Library'!$A$6:$Z$150,COLUMN('Species Library'!W34),FALSE))</f>
        <v/>
      </c>
      <c r="AB38" s="30" t="str">
        <f>IF(ISNA(VLOOKUP($A38,'Species Library'!$A$6:$Z$150,COLUMN('Species Library'!X34),FALSE)), "",VLOOKUP($A38,'Species Library'!$A$6:$Z$150,COLUMN('Species Library'!X34),FALSE))</f>
        <v/>
      </c>
      <c r="AC38" s="30" t="str">
        <f>IF(ISNA(VLOOKUP($A38,'Species Library'!$A$6:$Z$150,COLUMN('Species Library'!Y34),FALSE)), "",VLOOKUP($A38,'Species Library'!$A$6:$Z$150,COLUMN('Species Library'!Y34),FALSE))</f>
        <v/>
      </c>
      <c r="AD38" s="30" t="str">
        <f>IF(ISNA(VLOOKUP($A38,'Species Library'!$A$6:$Z$150,COLUMN('Species Library'!Z34),FALSE)), "",VLOOKUP($A38,'Species Library'!$A$6:$Z$150,COLUMN('Species Library'!Z34),FALSE))</f>
        <v/>
      </c>
    </row>
    <row r="39" spans="2:30" x14ac:dyDescent="0.4">
      <c r="B39" s="30" t="str">
        <f>IF(ISNA(VLOOKUP($A39,'Species Library'!$A$6:$Z$150,COLUMN('Species Library'!B35),FALSE)), "",VLOOKUP($A39,'Species Library'!$A$6:$Z$150,COLUMN('Species Library'!B35),FALSE))</f>
        <v/>
      </c>
      <c r="C39" s="30" t="str">
        <f>IF(ISNA(VLOOKUP($A39,'Species Library'!$A$6:$Z$150,COLUMN('Species Library'!C35),FALSE)), "",VLOOKUP($A39,'Species Library'!$A$6:$Z$150,COLUMN('Species Library'!C35),FALSE))</f>
        <v/>
      </c>
      <c r="D39" s="30" t="str">
        <f>IF(ISNA(VLOOKUP($A39,'Species Library'!$A$6:$Z$150,COLUMN('Species Library'!D35),FALSE)), "",VLOOKUP($A39,'Species Library'!$A$6:$Z$150,COLUMN('Species Library'!D35),FALSE))</f>
        <v/>
      </c>
      <c r="E39" s="30" t="str">
        <f>IF(ISNA(VLOOKUP($A39,'Species Library'!$A$6:$Z$150,COLUMN('Species Library'!E35),FALSE)), "",VLOOKUP($A39,'Species Library'!$A$6:$Z$150,COLUMN('Species Library'!E35),FALSE))</f>
        <v/>
      </c>
      <c r="F39" s="30" t="str">
        <f>IF(ISNA(VLOOKUP($A39,'Species Library'!$A$6:$Z$150,COLUMN('Species Library'!F35),FALSE)), "",VLOOKUP($A39,'Species Library'!$A$6:$Z$150,COLUMN('Species Library'!F35),FALSE))</f>
        <v/>
      </c>
      <c r="G39" s="30" t="str">
        <f t="shared" si="0"/>
        <v/>
      </c>
      <c r="H39" s="30" t="str">
        <f>IF(ISNA(VLOOKUP($A39,'Species Library'!$A$6:$Z$150,COLUMN('Species Library'!G35),FALSE)), "",VLOOKUP($A39,'Species Library'!$A$6:$Z$150,COLUMN('Species Library'!G35),FALSE))</f>
        <v/>
      </c>
      <c r="I39" s="30" t="str">
        <f>IF(ISNA(VLOOKUP($A39,'Species Library'!$A$6:$Z$150,COLUMN('Species Library'!H35),FALSE)), "",VLOOKUP($A39,'Species Library'!$A$6:$Z$150,COLUMN('Species Library'!H35),FALSE))</f>
        <v/>
      </c>
      <c r="J39" s="30" t="str">
        <f>IF(ISNA(VLOOKUP($A39,'Species Library'!$A$6:$Z$150,COLUMN('Species Library'!I35),FALSE)), "",VLOOKUP($A39,'Species Library'!$A$6:$Z$150,COLUMN('Species Library'!I35),FALSE))</f>
        <v/>
      </c>
      <c r="K39" s="30" t="str">
        <f>IF(ISNA(VLOOKUP($A39,'Species Library'!$A$6:$Z$150,COLUMN('Species Library'!J35),FALSE)), "",VLOOKUP($A39,'Species Library'!$A$6:$Z$150,COLUMN('Species Library'!J35),FALSE))</f>
        <v/>
      </c>
      <c r="L39" s="30" t="str">
        <f>IF(ISNA(VLOOKUP($A39,'Species Library'!$A$6:$Z$150,COLUMN('Species Library'!K35),FALSE)), "",VLOOKUP($A39,'Species Library'!$A$6:$Z$150,COLUMN('Species Library'!K35),FALSE))</f>
        <v/>
      </c>
      <c r="M39" s="30" t="str">
        <f t="shared" si="1"/>
        <v/>
      </c>
      <c r="N39" s="30" t="str">
        <f>IF(ISNA(VLOOKUP($A39,'Species Library'!$A$6:$Z$150,COLUMN('Species Library'!L35),FALSE)), "",VLOOKUP($A39,'Species Library'!$A$6:$Z$150,COLUMN('Species Library'!L35),FALSE))</f>
        <v/>
      </c>
      <c r="O39" s="30" t="str">
        <f>IF(ISNA(VLOOKUP($A39,'Species Library'!$A$6:$Z$150,COLUMN('Species Library'!M35),FALSE)), "",VLOOKUP($A39,'Species Library'!$A$6:$Z$150,COLUMN('Species Library'!M35),FALSE))</f>
        <v/>
      </c>
      <c r="P39" s="30" t="str">
        <f>IF(ISNA(VLOOKUP($A39,'Species Library'!$A$6:$Z$150,COLUMN('Species Library'!N35),FALSE)), "",VLOOKUP($A39,'Species Library'!$A$6:$Z$150,COLUMN('Species Library'!N35),FALSE))</f>
        <v/>
      </c>
      <c r="Q39" s="30" t="str">
        <f t="shared" si="2"/>
        <v/>
      </c>
      <c r="R39" s="30" t="str">
        <f>IF(ISNA(VLOOKUP($A39,'Species Library'!$A$6:$Z$150,COLUMN('Species Library'!O35),FALSE)), "",VLOOKUP($A39,'Species Library'!$A$6:$Z$150,COLUMN('Species Library'!O35),FALSE))</f>
        <v/>
      </c>
      <c r="S39" s="30" t="str">
        <f>IF(ISNA(VLOOKUP($A39,'Species Library'!$A$6:$Z$150,COLUMN('Species Library'!P35),FALSE)), "",VLOOKUP($A39,'Species Library'!$A$6:$Z$150,COLUMN('Species Library'!P35),FALSE))</f>
        <v/>
      </c>
      <c r="T39" s="30" t="str">
        <f>IF(ISNA(VLOOKUP($A39,'Species Library'!$A$6:$Z$150,COLUMN('Species Library'!Q35),FALSE)), "",VLOOKUP($A39,'Species Library'!$A$6:$Z$150,COLUMN('Species Library'!Q35),FALSE))</f>
        <v/>
      </c>
      <c r="U39" s="30" t="str">
        <f>IF(ISNA(VLOOKUP($A39,'Species Library'!$A$6:$Z$150,COLUMN('Species Library'!R35),FALSE)), "",VLOOKUP($A39,'Species Library'!$A$6:$Z$150,COLUMN('Species Library'!R35),FALSE))</f>
        <v/>
      </c>
      <c r="V39" s="30" t="str">
        <f>IF(ISNA(VLOOKUP($A39,'Species Library'!$A$6:$Z$150,COLUMN('Species Library'!S35),FALSE)), "",VLOOKUP($A39,'Species Library'!$A$6:$Z$150,COLUMN('Species Library'!S35),FALSE))</f>
        <v/>
      </c>
      <c r="W39" s="30" t="str">
        <f>IF(ISNA(VLOOKUP($A39,'Species Library'!$A$6:$Z$150,COLUMN('Species Library'!T35),FALSE)), "",VLOOKUP($A39,'Species Library'!$A$6:$Z$150,COLUMN('Species Library'!T35),FALSE))</f>
        <v/>
      </c>
      <c r="X39" s="30" t="str">
        <f t="shared" si="3"/>
        <v/>
      </c>
      <c r="Y39" s="30" t="str">
        <f>IF(ISNA(VLOOKUP($A39,'Species Library'!$A$6:$Z$150,COLUMN('Species Library'!U35),FALSE)), "",VLOOKUP($A39,'Species Library'!$A$6:$Z$150,COLUMN('Species Library'!U35),FALSE))</f>
        <v/>
      </c>
      <c r="Z39" s="30" t="str">
        <f>IF(ISNA(VLOOKUP($A39,'Species Library'!$A$6:$Z$150,COLUMN('Species Library'!V35),FALSE)), "",VLOOKUP($A39,'Species Library'!$A$6:$Z$150,COLUMN('Species Library'!V35),FALSE))</f>
        <v/>
      </c>
      <c r="AA39" s="30" t="str">
        <f>IF(ISNA(VLOOKUP($A39,'Species Library'!$A$6:$Z$150,COLUMN('Species Library'!W35),FALSE)), "",VLOOKUP($A39,'Species Library'!$A$6:$Z$150,COLUMN('Species Library'!W35),FALSE))</f>
        <v/>
      </c>
      <c r="AB39" s="30" t="str">
        <f>IF(ISNA(VLOOKUP($A39,'Species Library'!$A$6:$Z$150,COLUMN('Species Library'!X35),FALSE)), "",VLOOKUP($A39,'Species Library'!$A$6:$Z$150,COLUMN('Species Library'!X35),FALSE))</f>
        <v/>
      </c>
      <c r="AC39" s="30" t="str">
        <f>IF(ISNA(VLOOKUP($A39,'Species Library'!$A$6:$Z$150,COLUMN('Species Library'!Y35),FALSE)), "",VLOOKUP($A39,'Species Library'!$A$6:$Z$150,COLUMN('Species Library'!Y35),FALSE))</f>
        <v/>
      </c>
      <c r="AD39" s="30" t="str">
        <f>IF(ISNA(VLOOKUP($A39,'Species Library'!$A$6:$Z$150,COLUMN('Species Library'!Z35),FALSE)), "",VLOOKUP($A39,'Species Library'!$A$6:$Z$150,COLUMN('Species Library'!Z35),FALSE))</f>
        <v/>
      </c>
    </row>
    <row r="40" spans="2:30" x14ac:dyDescent="0.4">
      <c r="B40" s="30" t="str">
        <f>IF(ISNA(VLOOKUP($A40,'Species Library'!$A$6:$Z$150,COLUMN('Species Library'!B36),FALSE)), "",VLOOKUP($A40,'Species Library'!$A$6:$Z$150,COLUMN('Species Library'!B36),FALSE))</f>
        <v/>
      </c>
      <c r="C40" s="30" t="str">
        <f>IF(ISNA(VLOOKUP($A40,'Species Library'!$A$6:$Z$150,COLUMN('Species Library'!C36),FALSE)), "",VLOOKUP($A40,'Species Library'!$A$6:$Z$150,COLUMN('Species Library'!C36),FALSE))</f>
        <v/>
      </c>
      <c r="D40" s="30" t="str">
        <f>IF(ISNA(VLOOKUP($A40,'Species Library'!$A$6:$Z$150,COLUMN('Species Library'!D36),FALSE)), "",VLOOKUP($A40,'Species Library'!$A$6:$Z$150,COLUMN('Species Library'!D36),FALSE))</f>
        <v/>
      </c>
      <c r="E40" s="30" t="str">
        <f>IF(ISNA(VLOOKUP($A40,'Species Library'!$A$6:$Z$150,COLUMN('Species Library'!E36),FALSE)), "",VLOOKUP($A40,'Species Library'!$A$6:$Z$150,COLUMN('Species Library'!E36),FALSE))</f>
        <v/>
      </c>
      <c r="F40" s="30" t="str">
        <f>IF(ISNA(VLOOKUP($A40,'Species Library'!$A$6:$Z$150,COLUMN('Species Library'!F36),FALSE)), "",VLOOKUP($A40,'Species Library'!$A$6:$Z$150,COLUMN('Species Library'!F36),FALSE))</f>
        <v/>
      </c>
      <c r="G40" s="30" t="str">
        <f t="shared" si="0"/>
        <v/>
      </c>
      <c r="H40" s="30" t="str">
        <f>IF(ISNA(VLOOKUP($A40,'Species Library'!$A$6:$Z$150,COLUMN('Species Library'!G36),FALSE)), "",VLOOKUP($A40,'Species Library'!$A$6:$Z$150,COLUMN('Species Library'!G36),FALSE))</f>
        <v/>
      </c>
      <c r="I40" s="30" t="str">
        <f>IF(ISNA(VLOOKUP($A40,'Species Library'!$A$6:$Z$150,COLUMN('Species Library'!H36),FALSE)), "",VLOOKUP($A40,'Species Library'!$A$6:$Z$150,COLUMN('Species Library'!H36),FALSE))</f>
        <v/>
      </c>
      <c r="J40" s="30" t="str">
        <f>IF(ISNA(VLOOKUP($A40,'Species Library'!$A$6:$Z$150,COLUMN('Species Library'!I36),FALSE)), "",VLOOKUP($A40,'Species Library'!$A$6:$Z$150,COLUMN('Species Library'!I36),FALSE))</f>
        <v/>
      </c>
      <c r="K40" s="30" t="str">
        <f>IF(ISNA(VLOOKUP($A40,'Species Library'!$A$6:$Z$150,COLUMN('Species Library'!J36),FALSE)), "",VLOOKUP($A40,'Species Library'!$A$6:$Z$150,COLUMN('Species Library'!J36),FALSE))</f>
        <v/>
      </c>
      <c r="L40" s="30" t="str">
        <f>IF(ISNA(VLOOKUP($A40,'Species Library'!$A$6:$Z$150,COLUMN('Species Library'!K36),FALSE)), "",VLOOKUP($A40,'Species Library'!$A$6:$Z$150,COLUMN('Species Library'!K36),FALSE))</f>
        <v/>
      </c>
      <c r="M40" s="30" t="str">
        <f t="shared" si="1"/>
        <v/>
      </c>
      <c r="N40" s="30" t="str">
        <f>IF(ISNA(VLOOKUP($A40,'Species Library'!$A$6:$Z$150,COLUMN('Species Library'!L36),FALSE)), "",VLOOKUP($A40,'Species Library'!$A$6:$Z$150,COLUMN('Species Library'!L36),FALSE))</f>
        <v/>
      </c>
      <c r="O40" s="30" t="str">
        <f>IF(ISNA(VLOOKUP($A40,'Species Library'!$A$6:$Z$150,COLUMN('Species Library'!M36),FALSE)), "",VLOOKUP($A40,'Species Library'!$A$6:$Z$150,COLUMN('Species Library'!M36),FALSE))</f>
        <v/>
      </c>
      <c r="P40" s="30" t="str">
        <f>IF(ISNA(VLOOKUP($A40,'Species Library'!$A$6:$Z$150,COLUMN('Species Library'!N36),FALSE)), "",VLOOKUP($A40,'Species Library'!$A$6:$Z$150,COLUMN('Species Library'!N36),FALSE))</f>
        <v/>
      </c>
      <c r="Q40" s="30" t="str">
        <f t="shared" si="2"/>
        <v/>
      </c>
      <c r="R40" s="30" t="str">
        <f>IF(ISNA(VLOOKUP($A40,'Species Library'!$A$6:$Z$150,COLUMN('Species Library'!O36),FALSE)), "",VLOOKUP($A40,'Species Library'!$A$6:$Z$150,COLUMN('Species Library'!O36),FALSE))</f>
        <v/>
      </c>
      <c r="S40" s="30" t="str">
        <f>IF(ISNA(VLOOKUP($A40,'Species Library'!$A$6:$Z$150,COLUMN('Species Library'!P36),FALSE)), "",VLOOKUP($A40,'Species Library'!$A$6:$Z$150,COLUMN('Species Library'!P36),FALSE))</f>
        <v/>
      </c>
      <c r="T40" s="30" t="str">
        <f>IF(ISNA(VLOOKUP($A40,'Species Library'!$A$6:$Z$150,COLUMN('Species Library'!Q36),FALSE)), "",VLOOKUP($A40,'Species Library'!$A$6:$Z$150,COLUMN('Species Library'!Q36),FALSE))</f>
        <v/>
      </c>
      <c r="U40" s="30" t="str">
        <f>IF(ISNA(VLOOKUP($A40,'Species Library'!$A$6:$Z$150,COLUMN('Species Library'!R36),FALSE)), "",VLOOKUP($A40,'Species Library'!$A$6:$Z$150,COLUMN('Species Library'!R36),FALSE))</f>
        <v/>
      </c>
      <c r="V40" s="30" t="str">
        <f>IF(ISNA(VLOOKUP($A40,'Species Library'!$A$6:$Z$150,COLUMN('Species Library'!S36),FALSE)), "",VLOOKUP($A40,'Species Library'!$A$6:$Z$150,COLUMN('Species Library'!S36),FALSE))</f>
        <v/>
      </c>
      <c r="W40" s="30" t="str">
        <f>IF(ISNA(VLOOKUP($A40,'Species Library'!$A$6:$Z$150,COLUMN('Species Library'!T36),FALSE)), "",VLOOKUP($A40,'Species Library'!$A$6:$Z$150,COLUMN('Species Library'!T36),FALSE))</f>
        <v/>
      </c>
      <c r="X40" s="30" t="str">
        <f t="shared" si="3"/>
        <v/>
      </c>
      <c r="Y40" s="30" t="str">
        <f>IF(ISNA(VLOOKUP($A40,'Species Library'!$A$6:$Z$150,COLUMN('Species Library'!U36),FALSE)), "",VLOOKUP($A40,'Species Library'!$A$6:$Z$150,COLUMN('Species Library'!U36),FALSE))</f>
        <v/>
      </c>
      <c r="Z40" s="30" t="str">
        <f>IF(ISNA(VLOOKUP($A40,'Species Library'!$A$6:$Z$150,COLUMN('Species Library'!V36),FALSE)), "",VLOOKUP($A40,'Species Library'!$A$6:$Z$150,COLUMN('Species Library'!V36),FALSE))</f>
        <v/>
      </c>
      <c r="AA40" s="30" t="str">
        <f>IF(ISNA(VLOOKUP($A40,'Species Library'!$A$6:$Z$150,COLUMN('Species Library'!W36),FALSE)), "",VLOOKUP($A40,'Species Library'!$A$6:$Z$150,COLUMN('Species Library'!W36),FALSE))</f>
        <v/>
      </c>
      <c r="AB40" s="30" t="str">
        <f>IF(ISNA(VLOOKUP($A40,'Species Library'!$A$6:$Z$150,COLUMN('Species Library'!X36),FALSE)), "",VLOOKUP($A40,'Species Library'!$A$6:$Z$150,COLUMN('Species Library'!X36),FALSE))</f>
        <v/>
      </c>
      <c r="AC40" s="30" t="str">
        <f>IF(ISNA(VLOOKUP($A40,'Species Library'!$A$6:$Z$150,COLUMN('Species Library'!Y36),FALSE)), "",VLOOKUP($A40,'Species Library'!$A$6:$Z$150,COLUMN('Species Library'!Y36),FALSE))</f>
        <v/>
      </c>
      <c r="AD40" s="30" t="str">
        <f>IF(ISNA(VLOOKUP($A40,'Species Library'!$A$6:$Z$150,COLUMN('Species Library'!Z36),FALSE)), "",VLOOKUP($A40,'Species Library'!$A$6:$Z$150,COLUMN('Species Library'!Z36),FALSE))</f>
        <v/>
      </c>
    </row>
    <row r="41" spans="2:30" x14ac:dyDescent="0.4">
      <c r="B41" s="30" t="str">
        <f>IF(ISNA(VLOOKUP($A41,'Species Library'!$A$6:$Z$150,COLUMN('Species Library'!B37),FALSE)), "",VLOOKUP($A41,'Species Library'!$A$6:$Z$150,COLUMN('Species Library'!B37),FALSE))</f>
        <v/>
      </c>
      <c r="C41" s="30" t="str">
        <f>IF(ISNA(VLOOKUP($A41,'Species Library'!$A$6:$Z$150,COLUMN('Species Library'!C37),FALSE)), "",VLOOKUP($A41,'Species Library'!$A$6:$Z$150,COLUMN('Species Library'!C37),FALSE))</f>
        <v/>
      </c>
      <c r="D41" s="30" t="str">
        <f>IF(ISNA(VLOOKUP($A41,'Species Library'!$A$6:$Z$150,COLUMN('Species Library'!D37),FALSE)), "",VLOOKUP($A41,'Species Library'!$A$6:$Z$150,COLUMN('Species Library'!D37),FALSE))</f>
        <v/>
      </c>
      <c r="E41" s="30" t="str">
        <f>IF(ISNA(VLOOKUP($A41,'Species Library'!$A$6:$Z$150,COLUMN('Species Library'!E37),FALSE)), "",VLOOKUP($A41,'Species Library'!$A$6:$Z$150,COLUMN('Species Library'!E37),FALSE))</f>
        <v/>
      </c>
      <c r="F41" s="30" t="str">
        <f>IF(ISNA(VLOOKUP($A41,'Species Library'!$A$6:$Z$150,COLUMN('Species Library'!F37),FALSE)), "",VLOOKUP($A41,'Species Library'!$A$6:$Z$150,COLUMN('Species Library'!F37),FALSE))</f>
        <v/>
      </c>
      <c r="G41" s="30" t="str">
        <f t="shared" si="0"/>
        <v/>
      </c>
      <c r="H41" s="30" t="str">
        <f>IF(ISNA(VLOOKUP($A41,'Species Library'!$A$6:$Z$150,COLUMN('Species Library'!G37),FALSE)), "",VLOOKUP($A41,'Species Library'!$A$6:$Z$150,COLUMN('Species Library'!G37),FALSE))</f>
        <v/>
      </c>
      <c r="I41" s="30" t="str">
        <f>IF(ISNA(VLOOKUP($A41,'Species Library'!$A$6:$Z$150,COLUMN('Species Library'!H37),FALSE)), "",VLOOKUP($A41,'Species Library'!$A$6:$Z$150,COLUMN('Species Library'!H37),FALSE))</f>
        <v/>
      </c>
      <c r="J41" s="30" t="str">
        <f>IF(ISNA(VLOOKUP($A41,'Species Library'!$A$6:$Z$150,COLUMN('Species Library'!I37),FALSE)), "",VLOOKUP($A41,'Species Library'!$A$6:$Z$150,COLUMN('Species Library'!I37),FALSE))</f>
        <v/>
      </c>
      <c r="K41" s="30" t="str">
        <f>IF(ISNA(VLOOKUP($A41,'Species Library'!$A$6:$Z$150,COLUMN('Species Library'!J37),FALSE)), "",VLOOKUP($A41,'Species Library'!$A$6:$Z$150,COLUMN('Species Library'!J37),FALSE))</f>
        <v/>
      </c>
      <c r="L41" s="30" t="str">
        <f>IF(ISNA(VLOOKUP($A41,'Species Library'!$A$6:$Z$150,COLUMN('Species Library'!K37),FALSE)), "",VLOOKUP($A41,'Species Library'!$A$6:$Z$150,COLUMN('Species Library'!K37),FALSE))</f>
        <v/>
      </c>
      <c r="M41" s="30" t="str">
        <f t="shared" si="1"/>
        <v/>
      </c>
      <c r="N41" s="30" t="str">
        <f>IF(ISNA(VLOOKUP($A41,'Species Library'!$A$6:$Z$150,COLUMN('Species Library'!L37),FALSE)), "",VLOOKUP($A41,'Species Library'!$A$6:$Z$150,COLUMN('Species Library'!L37),FALSE))</f>
        <v/>
      </c>
      <c r="O41" s="30" t="str">
        <f>IF(ISNA(VLOOKUP($A41,'Species Library'!$A$6:$Z$150,COLUMN('Species Library'!M37),FALSE)), "",VLOOKUP($A41,'Species Library'!$A$6:$Z$150,COLUMN('Species Library'!M37),FALSE))</f>
        <v/>
      </c>
      <c r="P41" s="30" t="str">
        <f>IF(ISNA(VLOOKUP($A41,'Species Library'!$A$6:$Z$150,COLUMN('Species Library'!N37),FALSE)), "",VLOOKUP($A41,'Species Library'!$A$6:$Z$150,COLUMN('Species Library'!N37),FALSE))</f>
        <v/>
      </c>
      <c r="Q41" s="30" t="str">
        <f t="shared" si="2"/>
        <v/>
      </c>
      <c r="R41" s="30" t="str">
        <f>IF(ISNA(VLOOKUP($A41,'Species Library'!$A$6:$Z$150,COLUMN('Species Library'!O37),FALSE)), "",VLOOKUP($A41,'Species Library'!$A$6:$Z$150,COLUMN('Species Library'!O37),FALSE))</f>
        <v/>
      </c>
      <c r="S41" s="30" t="str">
        <f>IF(ISNA(VLOOKUP($A41,'Species Library'!$A$6:$Z$150,COLUMN('Species Library'!P37),FALSE)), "",VLOOKUP($A41,'Species Library'!$A$6:$Z$150,COLUMN('Species Library'!P37),FALSE))</f>
        <v/>
      </c>
      <c r="T41" s="30" t="str">
        <f>IF(ISNA(VLOOKUP($A41,'Species Library'!$A$6:$Z$150,COLUMN('Species Library'!Q37),FALSE)), "",VLOOKUP($A41,'Species Library'!$A$6:$Z$150,COLUMN('Species Library'!Q37),FALSE))</f>
        <v/>
      </c>
      <c r="U41" s="30" t="str">
        <f>IF(ISNA(VLOOKUP($A41,'Species Library'!$A$6:$Z$150,COLUMN('Species Library'!R37),FALSE)), "",VLOOKUP($A41,'Species Library'!$A$6:$Z$150,COLUMN('Species Library'!R37),FALSE))</f>
        <v/>
      </c>
      <c r="V41" s="30" t="str">
        <f>IF(ISNA(VLOOKUP($A41,'Species Library'!$A$6:$Z$150,COLUMN('Species Library'!S37),FALSE)), "",VLOOKUP($A41,'Species Library'!$A$6:$Z$150,COLUMN('Species Library'!S37),FALSE))</f>
        <v/>
      </c>
      <c r="W41" s="30" t="str">
        <f>IF(ISNA(VLOOKUP($A41,'Species Library'!$A$6:$Z$150,COLUMN('Species Library'!T37),FALSE)), "",VLOOKUP($A41,'Species Library'!$A$6:$Z$150,COLUMN('Species Library'!T37),FALSE))</f>
        <v/>
      </c>
      <c r="X41" s="30" t="str">
        <f t="shared" si="3"/>
        <v/>
      </c>
      <c r="Y41" s="30" t="str">
        <f>IF(ISNA(VLOOKUP($A41,'Species Library'!$A$6:$Z$150,COLUMN('Species Library'!U37),FALSE)), "",VLOOKUP($A41,'Species Library'!$A$6:$Z$150,COLUMN('Species Library'!U37),FALSE))</f>
        <v/>
      </c>
      <c r="Z41" s="30" t="str">
        <f>IF(ISNA(VLOOKUP($A41,'Species Library'!$A$6:$Z$150,COLUMN('Species Library'!V37),FALSE)), "",VLOOKUP($A41,'Species Library'!$A$6:$Z$150,COLUMN('Species Library'!V37),FALSE))</f>
        <v/>
      </c>
      <c r="AA41" s="30" t="str">
        <f>IF(ISNA(VLOOKUP($A41,'Species Library'!$A$6:$Z$150,COLUMN('Species Library'!W37),FALSE)), "",VLOOKUP($A41,'Species Library'!$A$6:$Z$150,COLUMN('Species Library'!W37),FALSE))</f>
        <v/>
      </c>
      <c r="AB41" s="30" t="str">
        <f>IF(ISNA(VLOOKUP($A41,'Species Library'!$A$6:$Z$150,COLUMN('Species Library'!X37),FALSE)), "",VLOOKUP($A41,'Species Library'!$A$6:$Z$150,COLUMN('Species Library'!X37),FALSE))</f>
        <v/>
      </c>
      <c r="AC41" s="30" t="str">
        <f>IF(ISNA(VLOOKUP($A41,'Species Library'!$A$6:$Z$150,COLUMN('Species Library'!Y37),FALSE)), "",VLOOKUP($A41,'Species Library'!$A$6:$Z$150,COLUMN('Species Library'!Y37),FALSE))</f>
        <v/>
      </c>
      <c r="AD41" s="30" t="str">
        <f>IF(ISNA(VLOOKUP($A41,'Species Library'!$A$6:$Z$150,COLUMN('Species Library'!Z37),FALSE)), "",VLOOKUP($A41,'Species Library'!$A$6:$Z$150,COLUMN('Species Library'!Z37),FALSE))</f>
        <v/>
      </c>
    </row>
    <row r="42" spans="2:30" x14ac:dyDescent="0.4">
      <c r="B42" s="30" t="str">
        <f>IF(ISNA(VLOOKUP($A42,'Species Library'!$A$6:$Z$150,COLUMN('Species Library'!B38),FALSE)), "",VLOOKUP($A42,'Species Library'!$A$6:$Z$150,COLUMN('Species Library'!B38),FALSE))</f>
        <v/>
      </c>
      <c r="C42" s="30" t="str">
        <f>IF(ISNA(VLOOKUP($A42,'Species Library'!$A$6:$Z$150,COLUMN('Species Library'!C38),FALSE)), "",VLOOKUP($A42,'Species Library'!$A$6:$Z$150,COLUMN('Species Library'!C38),FALSE))</f>
        <v/>
      </c>
      <c r="D42" s="30" t="str">
        <f>IF(ISNA(VLOOKUP($A42,'Species Library'!$A$6:$Z$150,COLUMN('Species Library'!D38),FALSE)), "",VLOOKUP($A42,'Species Library'!$A$6:$Z$150,COLUMN('Species Library'!D38),FALSE))</f>
        <v/>
      </c>
      <c r="E42" s="30" t="str">
        <f>IF(ISNA(VLOOKUP($A42,'Species Library'!$A$6:$Z$150,COLUMN('Species Library'!E38),FALSE)), "",VLOOKUP($A42,'Species Library'!$A$6:$Z$150,COLUMN('Species Library'!E38),FALSE))</f>
        <v/>
      </c>
      <c r="F42" s="30" t="str">
        <f>IF(ISNA(VLOOKUP($A42,'Species Library'!$A$6:$Z$150,COLUMN('Species Library'!F38),FALSE)), "",VLOOKUP($A42,'Species Library'!$A$6:$Z$150,COLUMN('Species Library'!F38),FALSE))</f>
        <v/>
      </c>
      <c r="G42" s="30" t="str">
        <f t="shared" si="0"/>
        <v/>
      </c>
      <c r="H42" s="30" t="str">
        <f>IF(ISNA(VLOOKUP($A42,'Species Library'!$A$6:$Z$150,COLUMN('Species Library'!G38),FALSE)), "",VLOOKUP($A42,'Species Library'!$A$6:$Z$150,COLUMN('Species Library'!G38),FALSE))</f>
        <v/>
      </c>
      <c r="I42" s="30" t="str">
        <f>IF(ISNA(VLOOKUP($A42,'Species Library'!$A$6:$Z$150,COLUMN('Species Library'!H38),FALSE)), "",VLOOKUP($A42,'Species Library'!$A$6:$Z$150,COLUMN('Species Library'!H38),FALSE))</f>
        <v/>
      </c>
      <c r="J42" s="30" t="str">
        <f>IF(ISNA(VLOOKUP($A42,'Species Library'!$A$6:$Z$150,COLUMN('Species Library'!I38),FALSE)), "",VLOOKUP($A42,'Species Library'!$A$6:$Z$150,COLUMN('Species Library'!I38),FALSE))</f>
        <v/>
      </c>
      <c r="K42" s="30" t="str">
        <f>IF(ISNA(VLOOKUP($A42,'Species Library'!$A$6:$Z$150,COLUMN('Species Library'!J38),FALSE)), "",VLOOKUP($A42,'Species Library'!$A$6:$Z$150,COLUMN('Species Library'!J38),FALSE))</f>
        <v/>
      </c>
      <c r="L42" s="30" t="str">
        <f>IF(ISNA(VLOOKUP($A42,'Species Library'!$A$6:$Z$150,COLUMN('Species Library'!K38),FALSE)), "",VLOOKUP($A42,'Species Library'!$A$6:$Z$150,COLUMN('Species Library'!K38),FALSE))</f>
        <v/>
      </c>
      <c r="M42" s="30" t="str">
        <f t="shared" si="1"/>
        <v/>
      </c>
      <c r="N42" s="30" t="str">
        <f>IF(ISNA(VLOOKUP($A42,'Species Library'!$A$6:$Z$150,COLUMN('Species Library'!L38),FALSE)), "",VLOOKUP($A42,'Species Library'!$A$6:$Z$150,COLUMN('Species Library'!L38),FALSE))</f>
        <v/>
      </c>
      <c r="O42" s="30" t="str">
        <f>IF(ISNA(VLOOKUP($A42,'Species Library'!$A$6:$Z$150,COLUMN('Species Library'!M38),FALSE)), "",VLOOKUP($A42,'Species Library'!$A$6:$Z$150,COLUMN('Species Library'!M38),FALSE))</f>
        <v/>
      </c>
      <c r="P42" s="30" t="str">
        <f>IF(ISNA(VLOOKUP($A42,'Species Library'!$A$6:$Z$150,COLUMN('Species Library'!N38),FALSE)), "",VLOOKUP($A42,'Species Library'!$A$6:$Z$150,COLUMN('Species Library'!N38),FALSE))</f>
        <v/>
      </c>
      <c r="Q42" s="30" t="str">
        <f t="shared" si="2"/>
        <v/>
      </c>
      <c r="R42" s="30" t="str">
        <f>IF(ISNA(VLOOKUP($A42,'Species Library'!$A$6:$Z$150,COLUMN('Species Library'!O38),FALSE)), "",VLOOKUP($A42,'Species Library'!$A$6:$Z$150,COLUMN('Species Library'!O38),FALSE))</f>
        <v/>
      </c>
      <c r="S42" s="30" t="str">
        <f>IF(ISNA(VLOOKUP($A42,'Species Library'!$A$6:$Z$150,COLUMN('Species Library'!P38),FALSE)), "",VLOOKUP($A42,'Species Library'!$A$6:$Z$150,COLUMN('Species Library'!P38),FALSE))</f>
        <v/>
      </c>
      <c r="T42" s="30" t="str">
        <f>IF(ISNA(VLOOKUP($A42,'Species Library'!$A$6:$Z$150,COLUMN('Species Library'!Q38),FALSE)), "",VLOOKUP($A42,'Species Library'!$A$6:$Z$150,COLUMN('Species Library'!Q38),FALSE))</f>
        <v/>
      </c>
      <c r="U42" s="30" t="str">
        <f>IF(ISNA(VLOOKUP($A42,'Species Library'!$A$6:$Z$150,COLUMN('Species Library'!R38),FALSE)), "",VLOOKUP($A42,'Species Library'!$A$6:$Z$150,COLUMN('Species Library'!R38),FALSE))</f>
        <v/>
      </c>
      <c r="V42" s="30" t="str">
        <f>IF(ISNA(VLOOKUP($A42,'Species Library'!$A$6:$Z$150,COLUMN('Species Library'!S38),FALSE)), "",VLOOKUP($A42,'Species Library'!$A$6:$Z$150,COLUMN('Species Library'!S38),FALSE))</f>
        <v/>
      </c>
      <c r="W42" s="30" t="str">
        <f>IF(ISNA(VLOOKUP($A42,'Species Library'!$A$6:$Z$150,COLUMN('Species Library'!T38),FALSE)), "",VLOOKUP($A42,'Species Library'!$A$6:$Z$150,COLUMN('Species Library'!T38),FALSE))</f>
        <v/>
      </c>
      <c r="X42" s="30" t="str">
        <f t="shared" si="3"/>
        <v/>
      </c>
      <c r="Y42" s="30" t="str">
        <f>IF(ISNA(VLOOKUP($A42,'Species Library'!$A$6:$Z$150,COLUMN('Species Library'!U38),FALSE)), "",VLOOKUP($A42,'Species Library'!$A$6:$Z$150,COLUMN('Species Library'!U38),FALSE))</f>
        <v/>
      </c>
      <c r="Z42" s="30" t="str">
        <f>IF(ISNA(VLOOKUP($A42,'Species Library'!$A$6:$Z$150,COLUMN('Species Library'!V38),FALSE)), "",VLOOKUP($A42,'Species Library'!$A$6:$Z$150,COLUMN('Species Library'!V38),FALSE))</f>
        <v/>
      </c>
      <c r="AA42" s="30" t="str">
        <f>IF(ISNA(VLOOKUP($A42,'Species Library'!$A$6:$Z$150,COLUMN('Species Library'!W38),FALSE)), "",VLOOKUP($A42,'Species Library'!$A$6:$Z$150,COLUMN('Species Library'!W38),FALSE))</f>
        <v/>
      </c>
      <c r="AB42" s="30" t="str">
        <f>IF(ISNA(VLOOKUP($A42,'Species Library'!$A$6:$Z$150,COLUMN('Species Library'!X38),FALSE)), "",VLOOKUP($A42,'Species Library'!$A$6:$Z$150,COLUMN('Species Library'!X38),FALSE))</f>
        <v/>
      </c>
      <c r="AC42" s="30" t="str">
        <f>IF(ISNA(VLOOKUP($A42,'Species Library'!$A$6:$Z$150,COLUMN('Species Library'!Y38),FALSE)), "",VLOOKUP($A42,'Species Library'!$A$6:$Z$150,COLUMN('Species Library'!Y38),FALSE))</f>
        <v/>
      </c>
      <c r="AD42" s="30" t="str">
        <f>IF(ISNA(VLOOKUP($A42,'Species Library'!$A$6:$Z$150,COLUMN('Species Library'!Z38),FALSE)), "",VLOOKUP($A42,'Species Library'!$A$6:$Z$150,COLUMN('Species Library'!Z38),FALSE))</f>
        <v/>
      </c>
    </row>
    <row r="43" spans="2:30" x14ac:dyDescent="0.4">
      <c r="B43" s="30" t="str">
        <f>IF(ISNA(VLOOKUP($A43,'Species Library'!$A$6:$Z$150,COLUMN('Species Library'!B39),FALSE)), "",VLOOKUP($A43,'Species Library'!$A$6:$Z$150,COLUMN('Species Library'!B39),FALSE))</f>
        <v/>
      </c>
      <c r="C43" s="30" t="str">
        <f>IF(ISNA(VLOOKUP($A43,'Species Library'!$A$6:$Z$150,COLUMN('Species Library'!C39),FALSE)), "",VLOOKUP($A43,'Species Library'!$A$6:$Z$150,COLUMN('Species Library'!C39),FALSE))</f>
        <v/>
      </c>
      <c r="D43" s="30" t="str">
        <f>IF(ISNA(VLOOKUP($A43,'Species Library'!$A$6:$Z$150,COLUMN('Species Library'!D39),FALSE)), "",VLOOKUP($A43,'Species Library'!$A$6:$Z$150,COLUMN('Species Library'!D39),FALSE))</f>
        <v/>
      </c>
      <c r="E43" s="30" t="str">
        <f>IF(ISNA(VLOOKUP($A43,'Species Library'!$A$6:$Z$150,COLUMN('Species Library'!E39),FALSE)), "",VLOOKUP($A43,'Species Library'!$A$6:$Z$150,COLUMN('Species Library'!E39),FALSE))</f>
        <v/>
      </c>
      <c r="F43" s="30" t="str">
        <f>IF(ISNA(VLOOKUP($A43,'Species Library'!$A$6:$Z$150,COLUMN('Species Library'!F39),FALSE)), "",VLOOKUP($A43,'Species Library'!$A$6:$Z$150,COLUMN('Species Library'!F39),FALSE))</f>
        <v/>
      </c>
      <c r="G43" s="30" t="str">
        <f t="shared" si="0"/>
        <v/>
      </c>
      <c r="H43" s="30" t="str">
        <f>IF(ISNA(VLOOKUP($A43,'Species Library'!$A$6:$Z$150,COLUMN('Species Library'!G39),FALSE)), "",VLOOKUP($A43,'Species Library'!$A$6:$Z$150,COLUMN('Species Library'!G39),FALSE))</f>
        <v/>
      </c>
      <c r="I43" s="30" t="str">
        <f>IF(ISNA(VLOOKUP($A43,'Species Library'!$A$6:$Z$150,COLUMN('Species Library'!H39),FALSE)), "",VLOOKUP($A43,'Species Library'!$A$6:$Z$150,COLUMN('Species Library'!H39),FALSE))</f>
        <v/>
      </c>
      <c r="J43" s="30" t="str">
        <f>IF(ISNA(VLOOKUP($A43,'Species Library'!$A$6:$Z$150,COLUMN('Species Library'!I39),FALSE)), "",VLOOKUP($A43,'Species Library'!$A$6:$Z$150,COLUMN('Species Library'!I39),FALSE))</f>
        <v/>
      </c>
      <c r="K43" s="30" t="str">
        <f>IF(ISNA(VLOOKUP($A43,'Species Library'!$A$6:$Z$150,COLUMN('Species Library'!J39),FALSE)), "",VLOOKUP($A43,'Species Library'!$A$6:$Z$150,COLUMN('Species Library'!J39),FALSE))</f>
        <v/>
      </c>
      <c r="L43" s="30" t="str">
        <f>IF(ISNA(VLOOKUP($A43,'Species Library'!$A$6:$Z$150,COLUMN('Species Library'!K39),FALSE)), "",VLOOKUP($A43,'Species Library'!$A$6:$Z$150,COLUMN('Species Library'!K39),FALSE))</f>
        <v/>
      </c>
      <c r="M43" s="30" t="str">
        <f t="shared" si="1"/>
        <v/>
      </c>
      <c r="N43" s="30" t="str">
        <f>IF(ISNA(VLOOKUP($A43,'Species Library'!$A$6:$Z$150,COLUMN('Species Library'!L39),FALSE)), "",VLOOKUP($A43,'Species Library'!$A$6:$Z$150,COLUMN('Species Library'!L39),FALSE))</f>
        <v/>
      </c>
      <c r="O43" s="30" t="str">
        <f>IF(ISNA(VLOOKUP($A43,'Species Library'!$A$6:$Z$150,COLUMN('Species Library'!M39),FALSE)), "",VLOOKUP($A43,'Species Library'!$A$6:$Z$150,COLUMN('Species Library'!M39),FALSE))</f>
        <v/>
      </c>
      <c r="P43" s="30" t="str">
        <f>IF(ISNA(VLOOKUP($A43,'Species Library'!$A$6:$Z$150,COLUMN('Species Library'!N39),FALSE)), "",VLOOKUP($A43,'Species Library'!$A$6:$Z$150,COLUMN('Species Library'!N39),FALSE))</f>
        <v/>
      </c>
      <c r="Q43" s="30" t="str">
        <f t="shared" si="2"/>
        <v/>
      </c>
      <c r="R43" s="30" t="str">
        <f>IF(ISNA(VLOOKUP($A43,'Species Library'!$A$6:$Z$150,COLUMN('Species Library'!O39),FALSE)), "",VLOOKUP($A43,'Species Library'!$A$6:$Z$150,COLUMN('Species Library'!O39),FALSE))</f>
        <v/>
      </c>
      <c r="S43" s="30" t="str">
        <f>IF(ISNA(VLOOKUP($A43,'Species Library'!$A$6:$Z$150,COLUMN('Species Library'!P39),FALSE)), "",VLOOKUP($A43,'Species Library'!$A$6:$Z$150,COLUMN('Species Library'!P39),FALSE))</f>
        <v/>
      </c>
      <c r="T43" s="30" t="str">
        <f>IF(ISNA(VLOOKUP($A43,'Species Library'!$A$6:$Z$150,COLUMN('Species Library'!Q39),FALSE)), "",VLOOKUP($A43,'Species Library'!$A$6:$Z$150,COLUMN('Species Library'!Q39),FALSE))</f>
        <v/>
      </c>
      <c r="U43" s="30" t="str">
        <f>IF(ISNA(VLOOKUP($A43,'Species Library'!$A$6:$Z$150,COLUMN('Species Library'!R39),FALSE)), "",VLOOKUP($A43,'Species Library'!$A$6:$Z$150,COLUMN('Species Library'!R39),FALSE))</f>
        <v/>
      </c>
      <c r="V43" s="30" t="str">
        <f>IF(ISNA(VLOOKUP($A43,'Species Library'!$A$6:$Z$150,COLUMN('Species Library'!S39),FALSE)), "",VLOOKUP($A43,'Species Library'!$A$6:$Z$150,COLUMN('Species Library'!S39),FALSE))</f>
        <v/>
      </c>
      <c r="W43" s="30" t="str">
        <f>IF(ISNA(VLOOKUP($A43,'Species Library'!$A$6:$Z$150,COLUMN('Species Library'!T39),FALSE)), "",VLOOKUP($A43,'Species Library'!$A$6:$Z$150,COLUMN('Species Library'!T39),FALSE))</f>
        <v/>
      </c>
      <c r="X43" s="30" t="str">
        <f t="shared" si="3"/>
        <v/>
      </c>
      <c r="Y43" s="30" t="str">
        <f>IF(ISNA(VLOOKUP($A43,'Species Library'!$A$6:$Z$150,COLUMN('Species Library'!U39),FALSE)), "",VLOOKUP($A43,'Species Library'!$A$6:$Z$150,COLUMN('Species Library'!U39),FALSE))</f>
        <v/>
      </c>
      <c r="Z43" s="30" t="str">
        <f>IF(ISNA(VLOOKUP($A43,'Species Library'!$A$6:$Z$150,COLUMN('Species Library'!V39),FALSE)), "",VLOOKUP($A43,'Species Library'!$A$6:$Z$150,COLUMN('Species Library'!V39),FALSE))</f>
        <v/>
      </c>
      <c r="AA43" s="30" t="str">
        <f>IF(ISNA(VLOOKUP($A43,'Species Library'!$A$6:$Z$150,COLUMN('Species Library'!W39),FALSE)), "",VLOOKUP($A43,'Species Library'!$A$6:$Z$150,COLUMN('Species Library'!W39),FALSE))</f>
        <v/>
      </c>
      <c r="AB43" s="30" t="str">
        <f>IF(ISNA(VLOOKUP($A43,'Species Library'!$A$6:$Z$150,COLUMN('Species Library'!X39),FALSE)), "",VLOOKUP($A43,'Species Library'!$A$6:$Z$150,COLUMN('Species Library'!X39),FALSE))</f>
        <v/>
      </c>
      <c r="AC43" s="30" t="str">
        <f>IF(ISNA(VLOOKUP($A43,'Species Library'!$A$6:$Z$150,COLUMN('Species Library'!Y39),FALSE)), "",VLOOKUP($A43,'Species Library'!$A$6:$Z$150,COLUMN('Species Library'!Y39),FALSE))</f>
        <v/>
      </c>
      <c r="AD43" s="30" t="str">
        <f>IF(ISNA(VLOOKUP($A43,'Species Library'!$A$6:$Z$150,COLUMN('Species Library'!Z39),FALSE)), "",VLOOKUP($A43,'Species Library'!$A$6:$Z$150,COLUMN('Species Library'!Z39),FALSE))</f>
        <v/>
      </c>
    </row>
    <row r="44" spans="2:30" x14ac:dyDescent="0.4">
      <c r="B44" s="30" t="str">
        <f>IF(ISNA(VLOOKUP($A44,'Species Library'!$A$6:$Z$150,COLUMN('Species Library'!B40),FALSE)), "",VLOOKUP($A44,'Species Library'!$A$6:$Z$150,COLUMN('Species Library'!B40),FALSE))</f>
        <v/>
      </c>
      <c r="C44" s="30" t="str">
        <f>IF(ISNA(VLOOKUP($A44,'Species Library'!$A$6:$Z$150,COLUMN('Species Library'!C40),FALSE)), "",VLOOKUP($A44,'Species Library'!$A$6:$Z$150,COLUMN('Species Library'!C40),FALSE))</f>
        <v/>
      </c>
      <c r="D44" s="30" t="str">
        <f>IF(ISNA(VLOOKUP($A44,'Species Library'!$A$6:$Z$150,COLUMN('Species Library'!D40),FALSE)), "",VLOOKUP($A44,'Species Library'!$A$6:$Z$150,COLUMN('Species Library'!D40),FALSE))</f>
        <v/>
      </c>
      <c r="E44" s="30" t="str">
        <f>IF(ISNA(VLOOKUP($A44,'Species Library'!$A$6:$Z$150,COLUMN('Species Library'!E40),FALSE)), "",VLOOKUP($A44,'Species Library'!$A$6:$Z$150,COLUMN('Species Library'!E40),FALSE))</f>
        <v/>
      </c>
      <c r="F44" s="30" t="str">
        <f>IF(ISNA(VLOOKUP($A44,'Species Library'!$A$6:$Z$150,COLUMN('Species Library'!F40),FALSE)), "",VLOOKUP($A44,'Species Library'!$A$6:$Z$150,COLUMN('Species Library'!F40),FALSE))</f>
        <v/>
      </c>
      <c r="G44" s="30" t="str">
        <f t="shared" si="0"/>
        <v/>
      </c>
      <c r="H44" s="30" t="str">
        <f>IF(ISNA(VLOOKUP($A44,'Species Library'!$A$6:$Z$150,COLUMN('Species Library'!G40),FALSE)), "",VLOOKUP($A44,'Species Library'!$A$6:$Z$150,COLUMN('Species Library'!G40),FALSE))</f>
        <v/>
      </c>
      <c r="I44" s="30" t="str">
        <f>IF(ISNA(VLOOKUP($A44,'Species Library'!$A$6:$Z$150,COLUMN('Species Library'!H40),FALSE)), "",VLOOKUP($A44,'Species Library'!$A$6:$Z$150,COLUMN('Species Library'!H40),FALSE))</f>
        <v/>
      </c>
      <c r="J44" s="30" t="str">
        <f>IF(ISNA(VLOOKUP($A44,'Species Library'!$A$6:$Z$150,COLUMN('Species Library'!I40),FALSE)), "",VLOOKUP($A44,'Species Library'!$A$6:$Z$150,COLUMN('Species Library'!I40),FALSE))</f>
        <v/>
      </c>
      <c r="K44" s="30" t="str">
        <f>IF(ISNA(VLOOKUP($A44,'Species Library'!$A$6:$Z$150,COLUMN('Species Library'!J40),FALSE)), "",VLOOKUP($A44,'Species Library'!$A$6:$Z$150,COLUMN('Species Library'!J40),FALSE))</f>
        <v/>
      </c>
      <c r="L44" s="30" t="str">
        <f>IF(ISNA(VLOOKUP($A44,'Species Library'!$A$6:$Z$150,COLUMN('Species Library'!K40),FALSE)), "",VLOOKUP($A44,'Species Library'!$A$6:$Z$150,COLUMN('Species Library'!K40),FALSE))</f>
        <v/>
      </c>
      <c r="M44" s="30" t="str">
        <f t="shared" si="1"/>
        <v/>
      </c>
      <c r="N44" s="30" t="str">
        <f>IF(ISNA(VLOOKUP($A44,'Species Library'!$A$6:$Z$150,COLUMN('Species Library'!L40),FALSE)), "",VLOOKUP($A44,'Species Library'!$A$6:$Z$150,COLUMN('Species Library'!L40),FALSE))</f>
        <v/>
      </c>
      <c r="O44" s="30" t="str">
        <f>IF(ISNA(VLOOKUP($A44,'Species Library'!$A$6:$Z$150,COLUMN('Species Library'!M40),FALSE)), "",VLOOKUP($A44,'Species Library'!$A$6:$Z$150,COLUMN('Species Library'!M40),FALSE))</f>
        <v/>
      </c>
      <c r="P44" s="30" t="str">
        <f>IF(ISNA(VLOOKUP($A44,'Species Library'!$A$6:$Z$150,COLUMN('Species Library'!N40),FALSE)), "",VLOOKUP($A44,'Species Library'!$A$6:$Z$150,COLUMN('Species Library'!N40),FALSE))</f>
        <v/>
      </c>
      <c r="Q44" s="30" t="str">
        <f t="shared" si="2"/>
        <v/>
      </c>
      <c r="R44" s="30" t="str">
        <f>IF(ISNA(VLOOKUP($A44,'Species Library'!$A$6:$Z$150,COLUMN('Species Library'!O40),FALSE)), "",VLOOKUP($A44,'Species Library'!$A$6:$Z$150,COLUMN('Species Library'!O40),FALSE))</f>
        <v/>
      </c>
      <c r="S44" s="30" t="str">
        <f>IF(ISNA(VLOOKUP($A44,'Species Library'!$A$6:$Z$150,COLUMN('Species Library'!P40),FALSE)), "",VLOOKUP($A44,'Species Library'!$A$6:$Z$150,COLUMN('Species Library'!P40),FALSE))</f>
        <v/>
      </c>
      <c r="T44" s="30" t="str">
        <f>IF(ISNA(VLOOKUP($A44,'Species Library'!$A$6:$Z$150,COLUMN('Species Library'!Q40),FALSE)), "",VLOOKUP($A44,'Species Library'!$A$6:$Z$150,COLUMN('Species Library'!Q40),FALSE))</f>
        <v/>
      </c>
      <c r="U44" s="30" t="str">
        <f>IF(ISNA(VLOOKUP($A44,'Species Library'!$A$6:$Z$150,COLUMN('Species Library'!R40),FALSE)), "",VLOOKUP($A44,'Species Library'!$A$6:$Z$150,COLUMN('Species Library'!R40),FALSE))</f>
        <v/>
      </c>
      <c r="V44" s="30" t="str">
        <f>IF(ISNA(VLOOKUP($A44,'Species Library'!$A$6:$Z$150,COLUMN('Species Library'!S40),FALSE)), "",VLOOKUP($A44,'Species Library'!$A$6:$Z$150,COLUMN('Species Library'!S40),FALSE))</f>
        <v/>
      </c>
      <c r="W44" s="30" t="str">
        <f>IF(ISNA(VLOOKUP($A44,'Species Library'!$A$6:$Z$150,COLUMN('Species Library'!T40),FALSE)), "",VLOOKUP($A44,'Species Library'!$A$6:$Z$150,COLUMN('Species Library'!T40),FALSE))</f>
        <v/>
      </c>
      <c r="X44" s="30" t="str">
        <f t="shared" si="3"/>
        <v/>
      </c>
      <c r="Y44" s="30" t="str">
        <f>IF(ISNA(VLOOKUP($A44,'Species Library'!$A$6:$Z$150,COLUMN('Species Library'!U40),FALSE)), "",VLOOKUP($A44,'Species Library'!$A$6:$Z$150,COLUMN('Species Library'!U40),FALSE))</f>
        <v/>
      </c>
      <c r="Z44" s="30" t="str">
        <f>IF(ISNA(VLOOKUP($A44,'Species Library'!$A$6:$Z$150,COLUMN('Species Library'!V40),FALSE)), "",VLOOKUP($A44,'Species Library'!$A$6:$Z$150,COLUMN('Species Library'!V40),FALSE))</f>
        <v/>
      </c>
      <c r="AA44" s="30" t="str">
        <f>IF(ISNA(VLOOKUP($A44,'Species Library'!$A$6:$Z$150,COLUMN('Species Library'!W40),FALSE)), "",VLOOKUP($A44,'Species Library'!$A$6:$Z$150,COLUMN('Species Library'!W40),FALSE))</f>
        <v/>
      </c>
      <c r="AB44" s="30" t="str">
        <f>IF(ISNA(VLOOKUP($A44,'Species Library'!$A$6:$Z$150,COLUMN('Species Library'!X40),FALSE)), "",VLOOKUP($A44,'Species Library'!$A$6:$Z$150,COLUMN('Species Library'!X40),FALSE))</f>
        <v/>
      </c>
      <c r="AC44" s="30" t="str">
        <f>IF(ISNA(VLOOKUP($A44,'Species Library'!$A$6:$Z$150,COLUMN('Species Library'!Y40),FALSE)), "",VLOOKUP($A44,'Species Library'!$A$6:$Z$150,COLUMN('Species Library'!Y40),FALSE))</f>
        <v/>
      </c>
      <c r="AD44" s="30" t="str">
        <f>IF(ISNA(VLOOKUP($A44,'Species Library'!$A$6:$Z$150,COLUMN('Species Library'!Z40),FALSE)), "",VLOOKUP($A44,'Species Library'!$A$6:$Z$150,COLUMN('Species Library'!Z40),FALSE))</f>
        <v/>
      </c>
    </row>
    <row r="45" spans="2:30" x14ac:dyDescent="0.4">
      <c r="B45" s="30" t="str">
        <f>IF(ISNA(VLOOKUP($A45,'Species Library'!$A$6:$Z$150,COLUMN('Species Library'!B41),FALSE)), "",VLOOKUP($A45,'Species Library'!$A$6:$Z$150,COLUMN('Species Library'!B41),FALSE))</f>
        <v/>
      </c>
      <c r="C45" s="30" t="str">
        <f>IF(ISNA(VLOOKUP($A45,'Species Library'!$A$6:$Z$150,COLUMN('Species Library'!C41),FALSE)), "",VLOOKUP($A45,'Species Library'!$A$6:$Z$150,COLUMN('Species Library'!C41),FALSE))</f>
        <v/>
      </c>
      <c r="D45" s="30" t="str">
        <f>IF(ISNA(VLOOKUP($A45,'Species Library'!$A$6:$Z$150,COLUMN('Species Library'!D41),FALSE)), "",VLOOKUP($A45,'Species Library'!$A$6:$Z$150,COLUMN('Species Library'!D41),FALSE))</f>
        <v/>
      </c>
      <c r="E45" s="30" t="str">
        <f>IF(ISNA(VLOOKUP($A45,'Species Library'!$A$6:$Z$150,COLUMN('Species Library'!E41),FALSE)), "",VLOOKUP($A45,'Species Library'!$A$6:$Z$150,COLUMN('Species Library'!E41),FALSE))</f>
        <v/>
      </c>
      <c r="F45" s="30" t="str">
        <f>IF(ISNA(VLOOKUP($A45,'Species Library'!$A$6:$Z$150,COLUMN('Species Library'!F41),FALSE)), "",VLOOKUP($A45,'Species Library'!$A$6:$Z$150,COLUMN('Species Library'!F41),FALSE))</f>
        <v/>
      </c>
      <c r="G45" s="30" t="str">
        <f t="shared" si="0"/>
        <v/>
      </c>
      <c r="H45" s="30" t="str">
        <f>IF(ISNA(VLOOKUP($A45,'Species Library'!$A$6:$Z$150,COLUMN('Species Library'!G41),FALSE)), "",VLOOKUP($A45,'Species Library'!$A$6:$Z$150,COLUMN('Species Library'!G41),FALSE))</f>
        <v/>
      </c>
      <c r="I45" s="30" t="str">
        <f>IF(ISNA(VLOOKUP($A45,'Species Library'!$A$6:$Z$150,COLUMN('Species Library'!H41),FALSE)), "",VLOOKUP($A45,'Species Library'!$A$6:$Z$150,COLUMN('Species Library'!H41),FALSE))</f>
        <v/>
      </c>
      <c r="J45" s="30" t="str">
        <f>IF(ISNA(VLOOKUP($A45,'Species Library'!$A$6:$Z$150,COLUMN('Species Library'!I41),FALSE)), "",VLOOKUP($A45,'Species Library'!$A$6:$Z$150,COLUMN('Species Library'!I41),FALSE))</f>
        <v/>
      </c>
      <c r="K45" s="30" t="str">
        <f>IF(ISNA(VLOOKUP($A45,'Species Library'!$A$6:$Z$150,COLUMN('Species Library'!J41),FALSE)), "",VLOOKUP($A45,'Species Library'!$A$6:$Z$150,COLUMN('Species Library'!J41),FALSE))</f>
        <v/>
      </c>
      <c r="L45" s="30" t="str">
        <f>IF(ISNA(VLOOKUP($A45,'Species Library'!$A$6:$Z$150,COLUMN('Species Library'!K41),FALSE)), "",VLOOKUP($A45,'Species Library'!$A$6:$Z$150,COLUMN('Species Library'!K41),FALSE))</f>
        <v/>
      </c>
      <c r="M45" s="30" t="str">
        <f t="shared" si="1"/>
        <v/>
      </c>
      <c r="N45" s="30" t="str">
        <f>IF(ISNA(VLOOKUP($A45,'Species Library'!$A$6:$Z$150,COLUMN('Species Library'!L41),FALSE)), "",VLOOKUP($A45,'Species Library'!$A$6:$Z$150,COLUMN('Species Library'!L41),FALSE))</f>
        <v/>
      </c>
      <c r="O45" s="30" t="str">
        <f>IF(ISNA(VLOOKUP($A45,'Species Library'!$A$6:$Z$150,COLUMN('Species Library'!M41),FALSE)), "",VLOOKUP($A45,'Species Library'!$A$6:$Z$150,COLUMN('Species Library'!M41),FALSE))</f>
        <v/>
      </c>
      <c r="P45" s="30" t="str">
        <f>IF(ISNA(VLOOKUP($A45,'Species Library'!$A$6:$Z$150,COLUMN('Species Library'!N41),FALSE)), "",VLOOKUP($A45,'Species Library'!$A$6:$Z$150,COLUMN('Species Library'!N41),FALSE))</f>
        <v/>
      </c>
      <c r="Q45" s="30" t="str">
        <f t="shared" si="2"/>
        <v/>
      </c>
      <c r="R45" s="30" t="str">
        <f>IF(ISNA(VLOOKUP($A45,'Species Library'!$A$6:$Z$150,COLUMN('Species Library'!O41),FALSE)), "",VLOOKUP($A45,'Species Library'!$A$6:$Z$150,COLUMN('Species Library'!O41),FALSE))</f>
        <v/>
      </c>
      <c r="S45" s="30" t="str">
        <f>IF(ISNA(VLOOKUP($A45,'Species Library'!$A$6:$Z$150,COLUMN('Species Library'!P41),FALSE)), "",VLOOKUP($A45,'Species Library'!$A$6:$Z$150,COLUMN('Species Library'!P41),FALSE))</f>
        <v/>
      </c>
      <c r="T45" s="30" t="str">
        <f>IF(ISNA(VLOOKUP($A45,'Species Library'!$A$6:$Z$150,COLUMN('Species Library'!Q41),FALSE)), "",VLOOKUP($A45,'Species Library'!$A$6:$Z$150,COLUMN('Species Library'!Q41),FALSE))</f>
        <v/>
      </c>
      <c r="U45" s="30" t="str">
        <f>IF(ISNA(VLOOKUP($A45,'Species Library'!$A$6:$Z$150,COLUMN('Species Library'!R41),FALSE)), "",VLOOKUP($A45,'Species Library'!$A$6:$Z$150,COLUMN('Species Library'!R41),FALSE))</f>
        <v/>
      </c>
      <c r="V45" s="30" t="str">
        <f>IF(ISNA(VLOOKUP($A45,'Species Library'!$A$6:$Z$150,COLUMN('Species Library'!S41),FALSE)), "",VLOOKUP($A45,'Species Library'!$A$6:$Z$150,COLUMN('Species Library'!S41),FALSE))</f>
        <v/>
      </c>
      <c r="W45" s="30" t="str">
        <f>IF(ISNA(VLOOKUP($A45,'Species Library'!$A$6:$Z$150,COLUMN('Species Library'!T41),FALSE)), "",VLOOKUP($A45,'Species Library'!$A$6:$Z$150,COLUMN('Species Library'!T41),FALSE))</f>
        <v/>
      </c>
      <c r="X45" s="30" t="str">
        <f t="shared" si="3"/>
        <v/>
      </c>
      <c r="Y45" s="30" t="str">
        <f>IF(ISNA(VLOOKUP($A45,'Species Library'!$A$6:$Z$150,COLUMN('Species Library'!U41),FALSE)), "",VLOOKUP($A45,'Species Library'!$A$6:$Z$150,COLUMN('Species Library'!U41),FALSE))</f>
        <v/>
      </c>
      <c r="Z45" s="30" t="str">
        <f>IF(ISNA(VLOOKUP($A45,'Species Library'!$A$6:$Z$150,COLUMN('Species Library'!V41),FALSE)), "",VLOOKUP($A45,'Species Library'!$A$6:$Z$150,COLUMN('Species Library'!V41),FALSE))</f>
        <v/>
      </c>
      <c r="AA45" s="30" t="str">
        <f>IF(ISNA(VLOOKUP($A45,'Species Library'!$A$6:$Z$150,COLUMN('Species Library'!W41),FALSE)), "",VLOOKUP($A45,'Species Library'!$A$6:$Z$150,COLUMN('Species Library'!W41),FALSE))</f>
        <v/>
      </c>
      <c r="AB45" s="30" t="str">
        <f>IF(ISNA(VLOOKUP($A45,'Species Library'!$A$6:$Z$150,COLUMN('Species Library'!X41),FALSE)), "",VLOOKUP($A45,'Species Library'!$A$6:$Z$150,COLUMN('Species Library'!X41),FALSE))</f>
        <v/>
      </c>
      <c r="AC45" s="30" t="str">
        <f>IF(ISNA(VLOOKUP($A45,'Species Library'!$A$6:$Z$150,COLUMN('Species Library'!Y41),FALSE)), "",VLOOKUP($A45,'Species Library'!$A$6:$Z$150,COLUMN('Species Library'!Y41),FALSE))</f>
        <v/>
      </c>
      <c r="AD45" s="30" t="str">
        <f>IF(ISNA(VLOOKUP($A45,'Species Library'!$A$6:$Z$150,COLUMN('Species Library'!Z41),FALSE)), "",VLOOKUP($A45,'Species Library'!$A$6:$Z$150,COLUMN('Species Library'!Z41),FALSE))</f>
        <v/>
      </c>
    </row>
    <row r="46" spans="2:30" x14ac:dyDescent="0.4">
      <c r="B46" s="30" t="str">
        <f>IF(ISNA(VLOOKUP($A46,'Species Library'!$A$6:$Z$150,COLUMN('Species Library'!B42),FALSE)), "",VLOOKUP($A46,'Species Library'!$A$6:$Z$150,COLUMN('Species Library'!B42),FALSE))</f>
        <v/>
      </c>
      <c r="C46" s="30" t="str">
        <f>IF(ISNA(VLOOKUP($A46,'Species Library'!$A$6:$Z$150,COLUMN('Species Library'!C42),FALSE)), "",VLOOKUP($A46,'Species Library'!$A$6:$Z$150,COLUMN('Species Library'!C42),FALSE))</f>
        <v/>
      </c>
      <c r="D46" s="30" t="str">
        <f>IF(ISNA(VLOOKUP($A46,'Species Library'!$A$6:$Z$150,COLUMN('Species Library'!D42),FALSE)), "",VLOOKUP($A46,'Species Library'!$A$6:$Z$150,COLUMN('Species Library'!D42),FALSE))</f>
        <v/>
      </c>
      <c r="E46" s="30" t="str">
        <f>IF(ISNA(VLOOKUP($A46,'Species Library'!$A$6:$Z$150,COLUMN('Species Library'!E42),FALSE)), "",VLOOKUP($A46,'Species Library'!$A$6:$Z$150,COLUMN('Species Library'!E42),FALSE))</f>
        <v/>
      </c>
      <c r="F46" s="30" t="str">
        <f>IF(ISNA(VLOOKUP($A46,'Species Library'!$A$6:$Z$150,COLUMN('Species Library'!F42),FALSE)), "",VLOOKUP($A46,'Species Library'!$A$6:$Z$150,COLUMN('Species Library'!F42),FALSE))</f>
        <v/>
      </c>
      <c r="G46" s="30" t="str">
        <f t="shared" si="0"/>
        <v/>
      </c>
      <c r="H46" s="30" t="str">
        <f>IF(ISNA(VLOOKUP($A46,'Species Library'!$A$6:$Z$150,COLUMN('Species Library'!G42),FALSE)), "",VLOOKUP($A46,'Species Library'!$A$6:$Z$150,COLUMN('Species Library'!G42),FALSE))</f>
        <v/>
      </c>
      <c r="I46" s="30" t="str">
        <f>IF(ISNA(VLOOKUP($A46,'Species Library'!$A$6:$Z$150,COLUMN('Species Library'!H42),FALSE)), "",VLOOKUP($A46,'Species Library'!$A$6:$Z$150,COLUMN('Species Library'!H42),FALSE))</f>
        <v/>
      </c>
      <c r="J46" s="30" t="str">
        <f>IF(ISNA(VLOOKUP($A46,'Species Library'!$A$6:$Z$150,COLUMN('Species Library'!I42),FALSE)), "",VLOOKUP($A46,'Species Library'!$A$6:$Z$150,COLUMN('Species Library'!I42),FALSE))</f>
        <v/>
      </c>
      <c r="K46" s="30" t="str">
        <f>IF(ISNA(VLOOKUP($A46,'Species Library'!$A$6:$Z$150,COLUMN('Species Library'!J42),FALSE)), "",VLOOKUP($A46,'Species Library'!$A$6:$Z$150,COLUMN('Species Library'!J42),FALSE))</f>
        <v/>
      </c>
      <c r="L46" s="30" t="str">
        <f>IF(ISNA(VLOOKUP($A46,'Species Library'!$A$6:$Z$150,COLUMN('Species Library'!K42),FALSE)), "",VLOOKUP($A46,'Species Library'!$A$6:$Z$150,COLUMN('Species Library'!K42),FALSE))</f>
        <v/>
      </c>
      <c r="M46" s="30" t="str">
        <f t="shared" si="1"/>
        <v/>
      </c>
      <c r="N46" s="30" t="str">
        <f>IF(ISNA(VLOOKUP($A46,'Species Library'!$A$6:$Z$150,COLUMN('Species Library'!L42),FALSE)), "",VLOOKUP($A46,'Species Library'!$A$6:$Z$150,COLUMN('Species Library'!L42),FALSE))</f>
        <v/>
      </c>
      <c r="O46" s="30" t="str">
        <f>IF(ISNA(VLOOKUP($A46,'Species Library'!$A$6:$Z$150,COLUMN('Species Library'!M42),FALSE)), "",VLOOKUP($A46,'Species Library'!$A$6:$Z$150,COLUMN('Species Library'!M42),FALSE))</f>
        <v/>
      </c>
      <c r="P46" s="30" t="str">
        <f>IF(ISNA(VLOOKUP($A46,'Species Library'!$A$6:$Z$150,COLUMN('Species Library'!N42),FALSE)), "",VLOOKUP($A46,'Species Library'!$A$6:$Z$150,COLUMN('Species Library'!N42),FALSE))</f>
        <v/>
      </c>
      <c r="Q46" s="30" t="str">
        <f t="shared" si="2"/>
        <v/>
      </c>
      <c r="R46" s="30" t="str">
        <f>IF(ISNA(VLOOKUP($A46,'Species Library'!$A$6:$Z$150,COLUMN('Species Library'!O42),FALSE)), "",VLOOKUP($A46,'Species Library'!$A$6:$Z$150,COLUMN('Species Library'!O42),FALSE))</f>
        <v/>
      </c>
      <c r="S46" s="30" t="str">
        <f>IF(ISNA(VLOOKUP($A46,'Species Library'!$A$6:$Z$150,COLUMN('Species Library'!P42),FALSE)), "",VLOOKUP($A46,'Species Library'!$A$6:$Z$150,COLUMN('Species Library'!P42),FALSE))</f>
        <v/>
      </c>
      <c r="T46" s="30" t="str">
        <f>IF(ISNA(VLOOKUP($A46,'Species Library'!$A$6:$Z$150,COLUMN('Species Library'!Q42),FALSE)), "",VLOOKUP($A46,'Species Library'!$A$6:$Z$150,COLUMN('Species Library'!Q42),FALSE))</f>
        <v/>
      </c>
      <c r="U46" s="30" t="str">
        <f>IF(ISNA(VLOOKUP($A46,'Species Library'!$A$6:$Z$150,COLUMN('Species Library'!R42),FALSE)), "",VLOOKUP($A46,'Species Library'!$A$6:$Z$150,COLUMN('Species Library'!R42),FALSE))</f>
        <v/>
      </c>
      <c r="V46" s="30" t="str">
        <f>IF(ISNA(VLOOKUP($A46,'Species Library'!$A$6:$Z$150,COLUMN('Species Library'!S42),FALSE)), "",VLOOKUP($A46,'Species Library'!$A$6:$Z$150,COLUMN('Species Library'!S42),FALSE))</f>
        <v/>
      </c>
      <c r="W46" s="30" t="str">
        <f>IF(ISNA(VLOOKUP($A46,'Species Library'!$A$6:$Z$150,COLUMN('Species Library'!T42),FALSE)), "",VLOOKUP($A46,'Species Library'!$A$6:$Z$150,COLUMN('Species Library'!T42),FALSE))</f>
        <v/>
      </c>
      <c r="X46" s="30" t="str">
        <f t="shared" si="3"/>
        <v/>
      </c>
      <c r="Y46" s="30" t="str">
        <f>IF(ISNA(VLOOKUP($A46,'Species Library'!$A$6:$Z$150,COLUMN('Species Library'!U42),FALSE)), "",VLOOKUP($A46,'Species Library'!$A$6:$Z$150,COLUMN('Species Library'!U42),FALSE))</f>
        <v/>
      </c>
      <c r="Z46" s="30" t="str">
        <f>IF(ISNA(VLOOKUP($A46,'Species Library'!$A$6:$Z$150,COLUMN('Species Library'!V42),FALSE)), "",VLOOKUP($A46,'Species Library'!$A$6:$Z$150,COLUMN('Species Library'!V42),FALSE))</f>
        <v/>
      </c>
      <c r="AA46" s="30" t="str">
        <f>IF(ISNA(VLOOKUP($A46,'Species Library'!$A$6:$Z$150,COLUMN('Species Library'!W42),FALSE)), "",VLOOKUP($A46,'Species Library'!$A$6:$Z$150,COLUMN('Species Library'!W42),FALSE))</f>
        <v/>
      </c>
      <c r="AB46" s="30" t="str">
        <f>IF(ISNA(VLOOKUP($A46,'Species Library'!$A$6:$Z$150,COLUMN('Species Library'!X42),FALSE)), "",VLOOKUP($A46,'Species Library'!$A$6:$Z$150,COLUMN('Species Library'!X42),FALSE))</f>
        <v/>
      </c>
      <c r="AC46" s="30" t="str">
        <f>IF(ISNA(VLOOKUP($A46,'Species Library'!$A$6:$Z$150,COLUMN('Species Library'!Y42),FALSE)), "",VLOOKUP($A46,'Species Library'!$A$6:$Z$150,COLUMN('Species Library'!Y42),FALSE))</f>
        <v/>
      </c>
      <c r="AD46" s="30" t="str">
        <f>IF(ISNA(VLOOKUP($A46,'Species Library'!$A$6:$Z$150,COLUMN('Species Library'!Z42),FALSE)), "",VLOOKUP($A46,'Species Library'!$A$6:$Z$150,COLUMN('Species Library'!Z42),FALSE))</f>
        <v/>
      </c>
    </row>
    <row r="47" spans="2:30" x14ac:dyDescent="0.4">
      <c r="B47" s="30" t="str">
        <f>IF(ISNA(VLOOKUP($A47,'Species Library'!$A$6:$Z$150,COLUMN('Species Library'!B43),FALSE)), "",VLOOKUP($A47,'Species Library'!$A$6:$Z$150,COLUMN('Species Library'!B43),FALSE))</f>
        <v/>
      </c>
      <c r="C47" s="30" t="str">
        <f>IF(ISNA(VLOOKUP($A47,'Species Library'!$A$6:$Z$150,COLUMN('Species Library'!C43),FALSE)), "",VLOOKUP($A47,'Species Library'!$A$6:$Z$150,COLUMN('Species Library'!C43),FALSE))</f>
        <v/>
      </c>
      <c r="D47" s="30" t="str">
        <f>IF(ISNA(VLOOKUP($A47,'Species Library'!$A$6:$Z$150,COLUMN('Species Library'!D43),FALSE)), "",VLOOKUP($A47,'Species Library'!$A$6:$Z$150,COLUMN('Species Library'!D43),FALSE))</f>
        <v/>
      </c>
      <c r="E47" s="30" t="str">
        <f>IF(ISNA(VLOOKUP($A47,'Species Library'!$A$6:$Z$150,COLUMN('Species Library'!E43),FALSE)), "",VLOOKUP($A47,'Species Library'!$A$6:$Z$150,COLUMN('Species Library'!E43),FALSE))</f>
        <v/>
      </c>
      <c r="F47" s="30" t="str">
        <f>IF(ISNA(VLOOKUP($A47,'Species Library'!$A$6:$Z$150,COLUMN('Species Library'!F43),FALSE)), "",VLOOKUP($A47,'Species Library'!$A$6:$Z$150,COLUMN('Species Library'!F43),FALSE))</f>
        <v/>
      </c>
      <c r="G47" s="30" t="str">
        <f t="shared" si="0"/>
        <v/>
      </c>
      <c r="H47" s="30" t="str">
        <f>IF(ISNA(VLOOKUP($A47,'Species Library'!$A$6:$Z$150,COLUMN('Species Library'!G43),FALSE)), "",VLOOKUP($A47,'Species Library'!$A$6:$Z$150,COLUMN('Species Library'!G43),FALSE))</f>
        <v/>
      </c>
      <c r="I47" s="30" t="str">
        <f>IF(ISNA(VLOOKUP($A47,'Species Library'!$A$6:$Z$150,COLUMN('Species Library'!H43),FALSE)), "",VLOOKUP($A47,'Species Library'!$A$6:$Z$150,COLUMN('Species Library'!H43),FALSE))</f>
        <v/>
      </c>
      <c r="J47" s="30" t="str">
        <f>IF(ISNA(VLOOKUP($A47,'Species Library'!$A$6:$Z$150,COLUMN('Species Library'!I43),FALSE)), "",VLOOKUP($A47,'Species Library'!$A$6:$Z$150,COLUMN('Species Library'!I43),FALSE))</f>
        <v/>
      </c>
      <c r="K47" s="30" t="str">
        <f>IF(ISNA(VLOOKUP($A47,'Species Library'!$A$6:$Z$150,COLUMN('Species Library'!J43),FALSE)), "",VLOOKUP($A47,'Species Library'!$A$6:$Z$150,COLUMN('Species Library'!J43),FALSE))</f>
        <v/>
      </c>
      <c r="L47" s="30" t="str">
        <f>IF(ISNA(VLOOKUP($A47,'Species Library'!$A$6:$Z$150,COLUMN('Species Library'!K43),FALSE)), "",VLOOKUP($A47,'Species Library'!$A$6:$Z$150,COLUMN('Species Library'!K43),FALSE))</f>
        <v/>
      </c>
      <c r="M47" s="30" t="str">
        <f t="shared" si="1"/>
        <v/>
      </c>
      <c r="N47" s="30" t="str">
        <f>IF(ISNA(VLOOKUP($A47,'Species Library'!$A$6:$Z$150,COLUMN('Species Library'!L43),FALSE)), "",VLOOKUP($A47,'Species Library'!$A$6:$Z$150,COLUMN('Species Library'!L43),FALSE))</f>
        <v/>
      </c>
      <c r="O47" s="30" t="str">
        <f>IF(ISNA(VLOOKUP($A47,'Species Library'!$A$6:$Z$150,COLUMN('Species Library'!M43),FALSE)), "",VLOOKUP($A47,'Species Library'!$A$6:$Z$150,COLUMN('Species Library'!M43),FALSE))</f>
        <v/>
      </c>
      <c r="P47" s="30" t="str">
        <f>IF(ISNA(VLOOKUP($A47,'Species Library'!$A$6:$Z$150,COLUMN('Species Library'!N43),FALSE)), "",VLOOKUP($A47,'Species Library'!$A$6:$Z$150,COLUMN('Species Library'!N43),FALSE))</f>
        <v/>
      </c>
      <c r="Q47" s="30" t="str">
        <f t="shared" si="2"/>
        <v/>
      </c>
      <c r="R47" s="30" t="str">
        <f>IF(ISNA(VLOOKUP($A47,'Species Library'!$A$6:$Z$150,COLUMN('Species Library'!O43),FALSE)), "",VLOOKUP($A47,'Species Library'!$A$6:$Z$150,COLUMN('Species Library'!O43),FALSE))</f>
        <v/>
      </c>
      <c r="S47" s="30" t="str">
        <f>IF(ISNA(VLOOKUP($A47,'Species Library'!$A$6:$Z$150,COLUMN('Species Library'!P43),FALSE)), "",VLOOKUP($A47,'Species Library'!$A$6:$Z$150,COLUMN('Species Library'!P43),FALSE))</f>
        <v/>
      </c>
      <c r="T47" s="30" t="str">
        <f>IF(ISNA(VLOOKUP($A47,'Species Library'!$A$6:$Z$150,COLUMN('Species Library'!Q43),FALSE)), "",VLOOKUP($A47,'Species Library'!$A$6:$Z$150,COLUMN('Species Library'!Q43),FALSE))</f>
        <v/>
      </c>
      <c r="U47" s="30" t="str">
        <f>IF(ISNA(VLOOKUP($A47,'Species Library'!$A$6:$Z$150,COLUMN('Species Library'!R43),FALSE)), "",VLOOKUP($A47,'Species Library'!$A$6:$Z$150,COLUMN('Species Library'!R43),FALSE))</f>
        <v/>
      </c>
      <c r="V47" s="30" t="str">
        <f>IF(ISNA(VLOOKUP($A47,'Species Library'!$A$6:$Z$150,COLUMN('Species Library'!S43),FALSE)), "",VLOOKUP($A47,'Species Library'!$A$6:$Z$150,COLUMN('Species Library'!S43),FALSE))</f>
        <v/>
      </c>
      <c r="W47" s="30" t="str">
        <f>IF(ISNA(VLOOKUP($A47,'Species Library'!$A$6:$Z$150,COLUMN('Species Library'!T43),FALSE)), "",VLOOKUP($A47,'Species Library'!$A$6:$Z$150,COLUMN('Species Library'!T43),FALSE))</f>
        <v/>
      </c>
      <c r="X47" s="30" t="str">
        <f t="shared" si="3"/>
        <v/>
      </c>
      <c r="Y47" s="30" t="str">
        <f>IF(ISNA(VLOOKUP($A47,'Species Library'!$A$6:$Z$150,COLUMN('Species Library'!U43),FALSE)), "",VLOOKUP($A47,'Species Library'!$A$6:$Z$150,COLUMN('Species Library'!U43),FALSE))</f>
        <v/>
      </c>
      <c r="Z47" s="30" t="str">
        <f>IF(ISNA(VLOOKUP($A47,'Species Library'!$A$6:$Z$150,COLUMN('Species Library'!V43),FALSE)), "",VLOOKUP($A47,'Species Library'!$A$6:$Z$150,COLUMN('Species Library'!V43),FALSE))</f>
        <v/>
      </c>
      <c r="AA47" s="30" t="str">
        <f>IF(ISNA(VLOOKUP($A47,'Species Library'!$A$6:$Z$150,COLUMN('Species Library'!W43),FALSE)), "",VLOOKUP($A47,'Species Library'!$A$6:$Z$150,COLUMN('Species Library'!W43),FALSE))</f>
        <v/>
      </c>
      <c r="AB47" s="30" t="str">
        <f>IF(ISNA(VLOOKUP($A47,'Species Library'!$A$6:$Z$150,COLUMN('Species Library'!X43),FALSE)), "",VLOOKUP($A47,'Species Library'!$A$6:$Z$150,COLUMN('Species Library'!X43),FALSE))</f>
        <v/>
      </c>
      <c r="AC47" s="30" t="str">
        <f>IF(ISNA(VLOOKUP($A47,'Species Library'!$A$6:$Z$150,COLUMN('Species Library'!Y43),FALSE)), "",VLOOKUP($A47,'Species Library'!$A$6:$Z$150,COLUMN('Species Library'!Y43),FALSE))</f>
        <v/>
      </c>
      <c r="AD47" s="30" t="str">
        <f>IF(ISNA(VLOOKUP($A47,'Species Library'!$A$6:$Z$150,COLUMN('Species Library'!Z43),FALSE)), "",VLOOKUP($A47,'Species Library'!$A$6:$Z$150,COLUMN('Species Library'!Z43),FALSE))</f>
        <v/>
      </c>
    </row>
    <row r="48" spans="2:30" x14ac:dyDescent="0.4">
      <c r="B48" s="30" t="str">
        <f>IF(ISNA(VLOOKUP($A48,'Species Library'!$A$6:$Z$150,COLUMN('Species Library'!B44),FALSE)), "",VLOOKUP($A48,'Species Library'!$A$6:$Z$150,COLUMN('Species Library'!B44),FALSE))</f>
        <v/>
      </c>
      <c r="C48" s="30" t="str">
        <f>IF(ISNA(VLOOKUP($A48,'Species Library'!$A$6:$Z$150,COLUMN('Species Library'!C44),FALSE)), "",VLOOKUP($A48,'Species Library'!$A$6:$Z$150,COLUMN('Species Library'!C44),FALSE))</f>
        <v/>
      </c>
      <c r="D48" s="30" t="str">
        <f>IF(ISNA(VLOOKUP($A48,'Species Library'!$A$6:$Z$150,COLUMN('Species Library'!D44),FALSE)), "",VLOOKUP($A48,'Species Library'!$A$6:$Z$150,COLUMN('Species Library'!D44),FALSE))</f>
        <v/>
      </c>
      <c r="E48" s="30" t="str">
        <f>IF(ISNA(VLOOKUP($A48,'Species Library'!$A$6:$Z$150,COLUMN('Species Library'!E44),FALSE)), "",VLOOKUP($A48,'Species Library'!$A$6:$Z$150,COLUMN('Species Library'!E44),FALSE))</f>
        <v/>
      </c>
      <c r="F48" s="30" t="str">
        <f>IF(ISNA(VLOOKUP($A48,'Species Library'!$A$6:$Z$150,COLUMN('Species Library'!F44),FALSE)), "",VLOOKUP($A48,'Species Library'!$A$6:$Z$150,COLUMN('Species Library'!F44),FALSE))</f>
        <v/>
      </c>
      <c r="G48" s="30" t="str">
        <f t="shared" si="0"/>
        <v/>
      </c>
      <c r="H48" s="30" t="str">
        <f>IF(ISNA(VLOOKUP($A48,'Species Library'!$A$6:$Z$150,COLUMN('Species Library'!G44),FALSE)), "",VLOOKUP($A48,'Species Library'!$A$6:$Z$150,COLUMN('Species Library'!G44),FALSE))</f>
        <v/>
      </c>
      <c r="I48" s="30" t="str">
        <f>IF(ISNA(VLOOKUP($A48,'Species Library'!$A$6:$Z$150,COLUMN('Species Library'!H44),FALSE)), "",VLOOKUP($A48,'Species Library'!$A$6:$Z$150,COLUMN('Species Library'!H44),FALSE))</f>
        <v/>
      </c>
      <c r="J48" s="30" t="str">
        <f>IF(ISNA(VLOOKUP($A48,'Species Library'!$A$6:$Z$150,COLUMN('Species Library'!I44),FALSE)), "",VLOOKUP($A48,'Species Library'!$A$6:$Z$150,COLUMN('Species Library'!I44),FALSE))</f>
        <v/>
      </c>
      <c r="K48" s="30" t="str">
        <f>IF(ISNA(VLOOKUP($A48,'Species Library'!$A$6:$Z$150,COLUMN('Species Library'!J44),FALSE)), "",VLOOKUP($A48,'Species Library'!$A$6:$Z$150,COLUMN('Species Library'!J44),FALSE))</f>
        <v/>
      </c>
      <c r="L48" s="30" t="str">
        <f>IF(ISNA(VLOOKUP($A48,'Species Library'!$A$6:$Z$150,COLUMN('Species Library'!K44),FALSE)), "",VLOOKUP($A48,'Species Library'!$A$6:$Z$150,COLUMN('Species Library'!K44),FALSE))</f>
        <v/>
      </c>
      <c r="M48" s="30" t="str">
        <f t="shared" si="1"/>
        <v/>
      </c>
      <c r="N48" s="30" t="str">
        <f>IF(ISNA(VLOOKUP($A48,'Species Library'!$A$6:$Z$150,COLUMN('Species Library'!L44),FALSE)), "",VLOOKUP($A48,'Species Library'!$A$6:$Z$150,COLUMN('Species Library'!L44),FALSE))</f>
        <v/>
      </c>
      <c r="O48" s="30" t="str">
        <f>IF(ISNA(VLOOKUP($A48,'Species Library'!$A$6:$Z$150,COLUMN('Species Library'!M44),FALSE)), "",VLOOKUP($A48,'Species Library'!$A$6:$Z$150,COLUMN('Species Library'!M44),FALSE))</f>
        <v/>
      </c>
      <c r="P48" s="30" t="str">
        <f>IF(ISNA(VLOOKUP($A48,'Species Library'!$A$6:$Z$150,COLUMN('Species Library'!N44),FALSE)), "",VLOOKUP($A48,'Species Library'!$A$6:$Z$150,COLUMN('Species Library'!N44),FALSE))</f>
        <v/>
      </c>
      <c r="Q48" s="30" t="str">
        <f t="shared" si="2"/>
        <v/>
      </c>
      <c r="R48" s="30" t="str">
        <f>IF(ISNA(VLOOKUP($A48,'Species Library'!$A$6:$Z$150,COLUMN('Species Library'!O44),FALSE)), "",VLOOKUP($A48,'Species Library'!$A$6:$Z$150,COLUMN('Species Library'!O44),FALSE))</f>
        <v/>
      </c>
      <c r="S48" s="30" t="str">
        <f>IF(ISNA(VLOOKUP($A48,'Species Library'!$A$6:$Z$150,COLUMN('Species Library'!P44),FALSE)), "",VLOOKUP($A48,'Species Library'!$A$6:$Z$150,COLUMN('Species Library'!P44),FALSE))</f>
        <v/>
      </c>
      <c r="T48" s="30" t="str">
        <f>IF(ISNA(VLOOKUP($A48,'Species Library'!$A$6:$Z$150,COLUMN('Species Library'!Q44),FALSE)), "",VLOOKUP($A48,'Species Library'!$A$6:$Z$150,COLUMN('Species Library'!Q44),FALSE))</f>
        <v/>
      </c>
      <c r="U48" s="30" t="str">
        <f>IF(ISNA(VLOOKUP($A48,'Species Library'!$A$6:$Z$150,COLUMN('Species Library'!R44),FALSE)), "",VLOOKUP($A48,'Species Library'!$A$6:$Z$150,COLUMN('Species Library'!R44),FALSE))</f>
        <v/>
      </c>
      <c r="V48" s="30" t="str">
        <f>IF(ISNA(VLOOKUP($A48,'Species Library'!$A$6:$Z$150,COLUMN('Species Library'!S44),FALSE)), "",VLOOKUP($A48,'Species Library'!$A$6:$Z$150,COLUMN('Species Library'!S44),FALSE))</f>
        <v/>
      </c>
      <c r="W48" s="30" t="str">
        <f>IF(ISNA(VLOOKUP($A48,'Species Library'!$A$6:$Z$150,COLUMN('Species Library'!T44),FALSE)), "",VLOOKUP($A48,'Species Library'!$A$6:$Z$150,COLUMN('Species Library'!T44),FALSE))</f>
        <v/>
      </c>
      <c r="X48" s="30" t="str">
        <f t="shared" si="3"/>
        <v/>
      </c>
      <c r="Y48" s="30" t="str">
        <f>IF(ISNA(VLOOKUP($A48,'Species Library'!$A$6:$Z$150,COLUMN('Species Library'!U44),FALSE)), "",VLOOKUP($A48,'Species Library'!$A$6:$Z$150,COLUMN('Species Library'!U44),FALSE))</f>
        <v/>
      </c>
      <c r="Z48" s="30" t="str">
        <f>IF(ISNA(VLOOKUP($A48,'Species Library'!$A$6:$Z$150,COLUMN('Species Library'!V44),FALSE)), "",VLOOKUP($A48,'Species Library'!$A$6:$Z$150,COLUMN('Species Library'!V44),FALSE))</f>
        <v/>
      </c>
      <c r="AA48" s="30" t="str">
        <f>IF(ISNA(VLOOKUP($A48,'Species Library'!$A$6:$Z$150,COLUMN('Species Library'!W44),FALSE)), "",VLOOKUP($A48,'Species Library'!$A$6:$Z$150,COLUMN('Species Library'!W44),FALSE))</f>
        <v/>
      </c>
      <c r="AB48" s="30" t="str">
        <f>IF(ISNA(VLOOKUP($A48,'Species Library'!$A$6:$Z$150,COLUMN('Species Library'!X44),FALSE)), "",VLOOKUP($A48,'Species Library'!$A$6:$Z$150,COLUMN('Species Library'!X44),FALSE))</f>
        <v/>
      </c>
      <c r="AC48" s="30" t="str">
        <f>IF(ISNA(VLOOKUP($A48,'Species Library'!$A$6:$Z$150,COLUMN('Species Library'!Y44),FALSE)), "",VLOOKUP($A48,'Species Library'!$A$6:$Z$150,COLUMN('Species Library'!Y44),FALSE))</f>
        <v/>
      </c>
      <c r="AD48" s="30" t="str">
        <f>IF(ISNA(VLOOKUP($A48,'Species Library'!$A$6:$Z$150,COLUMN('Species Library'!Z44),FALSE)), "",VLOOKUP($A48,'Species Library'!$A$6:$Z$150,COLUMN('Species Library'!Z44),FALSE))</f>
        <v/>
      </c>
    </row>
    <row r="49" spans="2:30" x14ac:dyDescent="0.4">
      <c r="B49" s="30" t="str">
        <f>IF(ISNA(VLOOKUP($A49,'Species Library'!$A$6:$Z$150,COLUMN('Species Library'!B45),FALSE)), "",VLOOKUP($A49,'Species Library'!$A$6:$Z$150,COLUMN('Species Library'!B45),FALSE))</f>
        <v/>
      </c>
      <c r="C49" s="30" t="str">
        <f>IF(ISNA(VLOOKUP($A49,'Species Library'!$A$6:$Z$150,COLUMN('Species Library'!C45),FALSE)), "",VLOOKUP($A49,'Species Library'!$A$6:$Z$150,COLUMN('Species Library'!C45),FALSE))</f>
        <v/>
      </c>
      <c r="D49" s="30" t="str">
        <f>IF(ISNA(VLOOKUP($A49,'Species Library'!$A$6:$Z$150,COLUMN('Species Library'!D45),FALSE)), "",VLOOKUP($A49,'Species Library'!$A$6:$Z$150,COLUMN('Species Library'!D45),FALSE))</f>
        <v/>
      </c>
      <c r="E49" s="30" t="str">
        <f>IF(ISNA(VLOOKUP($A49,'Species Library'!$A$6:$Z$150,COLUMN('Species Library'!E45),FALSE)), "",VLOOKUP($A49,'Species Library'!$A$6:$Z$150,COLUMN('Species Library'!E45),FALSE))</f>
        <v/>
      </c>
      <c r="F49" s="30" t="str">
        <f>IF(ISNA(VLOOKUP($A49,'Species Library'!$A$6:$Z$150,COLUMN('Species Library'!F45),FALSE)), "",VLOOKUP($A49,'Species Library'!$A$6:$Z$150,COLUMN('Species Library'!F45),FALSE))</f>
        <v/>
      </c>
      <c r="G49" s="30" t="str">
        <f t="shared" si="0"/>
        <v/>
      </c>
      <c r="H49" s="30" t="str">
        <f>IF(ISNA(VLOOKUP($A49,'Species Library'!$A$6:$Z$150,COLUMN('Species Library'!G45),FALSE)), "",VLOOKUP($A49,'Species Library'!$A$6:$Z$150,COLUMN('Species Library'!G45),FALSE))</f>
        <v/>
      </c>
      <c r="I49" s="30" t="str">
        <f>IF(ISNA(VLOOKUP($A49,'Species Library'!$A$6:$Z$150,COLUMN('Species Library'!H45),FALSE)), "",VLOOKUP($A49,'Species Library'!$A$6:$Z$150,COLUMN('Species Library'!H45),FALSE))</f>
        <v/>
      </c>
      <c r="J49" s="30" t="str">
        <f>IF(ISNA(VLOOKUP($A49,'Species Library'!$A$6:$Z$150,COLUMN('Species Library'!I45),FALSE)), "",VLOOKUP($A49,'Species Library'!$A$6:$Z$150,COLUMN('Species Library'!I45),FALSE))</f>
        <v/>
      </c>
      <c r="K49" s="30" t="str">
        <f>IF(ISNA(VLOOKUP($A49,'Species Library'!$A$6:$Z$150,COLUMN('Species Library'!J45),FALSE)), "",VLOOKUP($A49,'Species Library'!$A$6:$Z$150,COLUMN('Species Library'!J45),FALSE))</f>
        <v/>
      </c>
      <c r="L49" s="30" t="str">
        <f>IF(ISNA(VLOOKUP($A49,'Species Library'!$A$6:$Z$150,COLUMN('Species Library'!K45),FALSE)), "",VLOOKUP($A49,'Species Library'!$A$6:$Z$150,COLUMN('Species Library'!K45),FALSE))</f>
        <v/>
      </c>
      <c r="M49" s="30" t="str">
        <f t="shared" si="1"/>
        <v/>
      </c>
      <c r="N49" s="30" t="str">
        <f>IF(ISNA(VLOOKUP($A49,'Species Library'!$A$6:$Z$150,COLUMN('Species Library'!L45),FALSE)), "",VLOOKUP($A49,'Species Library'!$A$6:$Z$150,COLUMN('Species Library'!L45),FALSE))</f>
        <v/>
      </c>
      <c r="O49" s="30" t="str">
        <f>IF(ISNA(VLOOKUP($A49,'Species Library'!$A$6:$Z$150,COLUMN('Species Library'!M45),FALSE)), "",VLOOKUP($A49,'Species Library'!$A$6:$Z$150,COLUMN('Species Library'!M45),FALSE))</f>
        <v/>
      </c>
      <c r="P49" s="30" t="str">
        <f>IF(ISNA(VLOOKUP($A49,'Species Library'!$A$6:$Z$150,COLUMN('Species Library'!N45),FALSE)), "",VLOOKUP($A49,'Species Library'!$A$6:$Z$150,COLUMN('Species Library'!N45),FALSE))</f>
        <v/>
      </c>
      <c r="Q49" s="30" t="str">
        <f t="shared" si="2"/>
        <v/>
      </c>
      <c r="R49" s="30" t="str">
        <f>IF(ISNA(VLOOKUP($A49,'Species Library'!$A$6:$Z$150,COLUMN('Species Library'!O45),FALSE)), "",VLOOKUP($A49,'Species Library'!$A$6:$Z$150,COLUMN('Species Library'!O45),FALSE))</f>
        <v/>
      </c>
      <c r="S49" s="30" t="str">
        <f>IF(ISNA(VLOOKUP($A49,'Species Library'!$A$6:$Z$150,COLUMN('Species Library'!P45),FALSE)), "",VLOOKUP($A49,'Species Library'!$A$6:$Z$150,COLUMN('Species Library'!P45),FALSE))</f>
        <v/>
      </c>
      <c r="T49" s="30" t="str">
        <f>IF(ISNA(VLOOKUP($A49,'Species Library'!$A$6:$Z$150,COLUMN('Species Library'!Q45),FALSE)), "",VLOOKUP($A49,'Species Library'!$A$6:$Z$150,COLUMN('Species Library'!Q45),FALSE))</f>
        <v/>
      </c>
      <c r="U49" s="30" t="str">
        <f>IF(ISNA(VLOOKUP($A49,'Species Library'!$A$6:$Z$150,COLUMN('Species Library'!R45),FALSE)), "",VLOOKUP($A49,'Species Library'!$A$6:$Z$150,COLUMN('Species Library'!R45),FALSE))</f>
        <v/>
      </c>
      <c r="V49" s="30" t="str">
        <f>IF(ISNA(VLOOKUP($A49,'Species Library'!$A$6:$Z$150,COLUMN('Species Library'!S45),FALSE)), "",VLOOKUP($A49,'Species Library'!$A$6:$Z$150,COLUMN('Species Library'!S45),FALSE))</f>
        <v/>
      </c>
      <c r="W49" s="30" t="str">
        <f>IF(ISNA(VLOOKUP($A49,'Species Library'!$A$6:$Z$150,COLUMN('Species Library'!T45),FALSE)), "",VLOOKUP($A49,'Species Library'!$A$6:$Z$150,COLUMN('Species Library'!T45),FALSE))</f>
        <v/>
      </c>
      <c r="X49" s="30" t="str">
        <f t="shared" si="3"/>
        <v/>
      </c>
      <c r="Y49" s="30" t="str">
        <f>IF(ISNA(VLOOKUP($A49,'Species Library'!$A$6:$Z$150,COLUMN('Species Library'!U45),FALSE)), "",VLOOKUP($A49,'Species Library'!$A$6:$Z$150,COLUMN('Species Library'!U45),FALSE))</f>
        <v/>
      </c>
      <c r="Z49" s="30" t="str">
        <f>IF(ISNA(VLOOKUP($A49,'Species Library'!$A$6:$Z$150,COLUMN('Species Library'!V45),FALSE)), "",VLOOKUP($A49,'Species Library'!$A$6:$Z$150,COLUMN('Species Library'!V45),FALSE))</f>
        <v/>
      </c>
      <c r="AA49" s="30" t="str">
        <f>IF(ISNA(VLOOKUP($A49,'Species Library'!$A$6:$Z$150,COLUMN('Species Library'!W45),FALSE)), "",VLOOKUP($A49,'Species Library'!$A$6:$Z$150,COLUMN('Species Library'!W45),FALSE))</f>
        <v/>
      </c>
      <c r="AB49" s="30" t="str">
        <f>IF(ISNA(VLOOKUP($A49,'Species Library'!$A$6:$Z$150,COLUMN('Species Library'!X45),FALSE)), "",VLOOKUP($A49,'Species Library'!$A$6:$Z$150,COLUMN('Species Library'!X45),FALSE))</f>
        <v/>
      </c>
      <c r="AC49" s="30" t="str">
        <f>IF(ISNA(VLOOKUP($A49,'Species Library'!$A$6:$Z$150,COLUMN('Species Library'!Y45),FALSE)), "",VLOOKUP($A49,'Species Library'!$A$6:$Z$150,COLUMN('Species Library'!Y45),FALSE))</f>
        <v/>
      </c>
      <c r="AD49" s="30" t="str">
        <f>IF(ISNA(VLOOKUP($A49,'Species Library'!$A$6:$Z$150,COLUMN('Species Library'!Z45),FALSE)), "",VLOOKUP($A49,'Species Library'!$A$6:$Z$150,COLUMN('Species Library'!Z45),FALSE))</f>
        <v/>
      </c>
    </row>
    <row r="50" spans="2:30" x14ac:dyDescent="0.4">
      <c r="B50" s="30" t="str">
        <f>IF(ISNA(VLOOKUP($A50,'Species Library'!$A$6:$Z$150,COLUMN('Species Library'!B46),FALSE)), "",VLOOKUP($A50,'Species Library'!$A$6:$Z$150,COLUMN('Species Library'!B46),FALSE))</f>
        <v/>
      </c>
      <c r="C50" s="30" t="str">
        <f>IF(ISNA(VLOOKUP($A50,'Species Library'!$A$6:$Z$150,COLUMN('Species Library'!C46),FALSE)), "",VLOOKUP($A50,'Species Library'!$A$6:$Z$150,COLUMN('Species Library'!C46),FALSE))</f>
        <v/>
      </c>
      <c r="D50" s="30" t="str">
        <f>IF(ISNA(VLOOKUP($A50,'Species Library'!$A$6:$Z$150,COLUMN('Species Library'!D46),FALSE)), "",VLOOKUP($A50,'Species Library'!$A$6:$Z$150,COLUMN('Species Library'!D46),FALSE))</f>
        <v/>
      </c>
      <c r="E50" s="30" t="str">
        <f>IF(ISNA(VLOOKUP($A50,'Species Library'!$A$6:$Z$150,COLUMN('Species Library'!E46),FALSE)), "",VLOOKUP($A50,'Species Library'!$A$6:$Z$150,COLUMN('Species Library'!E46),FALSE))</f>
        <v/>
      </c>
      <c r="F50" s="30" t="str">
        <f>IF(ISNA(VLOOKUP($A50,'Species Library'!$A$6:$Z$150,COLUMN('Species Library'!F46),FALSE)), "",VLOOKUP($A50,'Species Library'!$A$6:$Z$150,COLUMN('Species Library'!F46),FALSE))</f>
        <v/>
      </c>
      <c r="G50" s="30" t="str">
        <f t="shared" si="0"/>
        <v/>
      </c>
      <c r="H50" s="30" t="str">
        <f>IF(ISNA(VLOOKUP($A50,'Species Library'!$A$6:$Z$150,COLUMN('Species Library'!G46),FALSE)), "",VLOOKUP($A50,'Species Library'!$A$6:$Z$150,COLUMN('Species Library'!G46),FALSE))</f>
        <v/>
      </c>
      <c r="I50" s="30" t="str">
        <f>IF(ISNA(VLOOKUP($A50,'Species Library'!$A$6:$Z$150,COLUMN('Species Library'!H46),FALSE)), "",VLOOKUP($A50,'Species Library'!$A$6:$Z$150,COLUMN('Species Library'!H46),FALSE))</f>
        <v/>
      </c>
      <c r="J50" s="30" t="str">
        <f>IF(ISNA(VLOOKUP($A50,'Species Library'!$A$6:$Z$150,COLUMN('Species Library'!I46),FALSE)), "",VLOOKUP($A50,'Species Library'!$A$6:$Z$150,COLUMN('Species Library'!I46),FALSE))</f>
        <v/>
      </c>
      <c r="K50" s="30" t="str">
        <f>IF(ISNA(VLOOKUP($A50,'Species Library'!$A$6:$Z$150,COLUMN('Species Library'!J46),FALSE)), "",VLOOKUP($A50,'Species Library'!$A$6:$Z$150,COLUMN('Species Library'!J46),FALSE))</f>
        <v/>
      </c>
      <c r="L50" s="30" t="str">
        <f>IF(ISNA(VLOOKUP($A50,'Species Library'!$A$6:$Z$150,COLUMN('Species Library'!K46),FALSE)), "",VLOOKUP($A50,'Species Library'!$A$6:$Z$150,COLUMN('Species Library'!K46),FALSE))</f>
        <v/>
      </c>
      <c r="M50" s="30" t="str">
        <f t="shared" si="1"/>
        <v/>
      </c>
      <c r="N50" s="30" t="str">
        <f>IF(ISNA(VLOOKUP($A50,'Species Library'!$A$6:$Z$150,COLUMN('Species Library'!L46),FALSE)), "",VLOOKUP($A50,'Species Library'!$A$6:$Z$150,COLUMN('Species Library'!L46),FALSE))</f>
        <v/>
      </c>
      <c r="O50" s="30" t="str">
        <f>IF(ISNA(VLOOKUP($A50,'Species Library'!$A$6:$Z$150,COLUMN('Species Library'!M46),FALSE)), "",VLOOKUP($A50,'Species Library'!$A$6:$Z$150,COLUMN('Species Library'!M46),FALSE))</f>
        <v/>
      </c>
      <c r="P50" s="30" t="str">
        <f>IF(ISNA(VLOOKUP($A50,'Species Library'!$A$6:$Z$150,COLUMN('Species Library'!N46),FALSE)), "",VLOOKUP($A50,'Species Library'!$A$6:$Z$150,COLUMN('Species Library'!N46),FALSE))</f>
        <v/>
      </c>
      <c r="Q50" s="30" t="str">
        <f t="shared" si="2"/>
        <v/>
      </c>
      <c r="R50" s="30" t="str">
        <f>IF(ISNA(VLOOKUP($A50,'Species Library'!$A$6:$Z$150,COLUMN('Species Library'!O46),FALSE)), "",VLOOKUP($A50,'Species Library'!$A$6:$Z$150,COLUMN('Species Library'!O46),FALSE))</f>
        <v/>
      </c>
      <c r="S50" s="30" t="str">
        <f>IF(ISNA(VLOOKUP($A50,'Species Library'!$A$6:$Z$150,COLUMN('Species Library'!P46),FALSE)), "",VLOOKUP($A50,'Species Library'!$A$6:$Z$150,COLUMN('Species Library'!P46),FALSE))</f>
        <v/>
      </c>
      <c r="T50" s="30" t="str">
        <f>IF(ISNA(VLOOKUP($A50,'Species Library'!$A$6:$Z$150,COLUMN('Species Library'!Q46),FALSE)), "",VLOOKUP($A50,'Species Library'!$A$6:$Z$150,COLUMN('Species Library'!Q46),FALSE))</f>
        <v/>
      </c>
      <c r="U50" s="30" t="str">
        <f>IF(ISNA(VLOOKUP($A50,'Species Library'!$A$6:$Z$150,COLUMN('Species Library'!R46),FALSE)), "",VLOOKUP($A50,'Species Library'!$A$6:$Z$150,COLUMN('Species Library'!R46),FALSE))</f>
        <v/>
      </c>
      <c r="V50" s="30" t="str">
        <f>IF(ISNA(VLOOKUP($A50,'Species Library'!$A$6:$Z$150,COLUMN('Species Library'!S46),FALSE)), "",VLOOKUP($A50,'Species Library'!$A$6:$Z$150,COLUMN('Species Library'!S46),FALSE))</f>
        <v/>
      </c>
      <c r="W50" s="30" t="str">
        <f>IF(ISNA(VLOOKUP($A50,'Species Library'!$A$6:$Z$150,COLUMN('Species Library'!T46),FALSE)), "",VLOOKUP($A50,'Species Library'!$A$6:$Z$150,COLUMN('Species Library'!T46),FALSE))</f>
        <v/>
      </c>
      <c r="X50" s="30" t="str">
        <f t="shared" si="3"/>
        <v/>
      </c>
      <c r="Y50" s="30" t="str">
        <f>IF(ISNA(VLOOKUP($A50,'Species Library'!$A$6:$Z$150,COLUMN('Species Library'!U46),FALSE)), "",VLOOKUP($A50,'Species Library'!$A$6:$Z$150,COLUMN('Species Library'!U46),FALSE))</f>
        <v/>
      </c>
      <c r="Z50" s="30" t="str">
        <f>IF(ISNA(VLOOKUP($A50,'Species Library'!$A$6:$Z$150,COLUMN('Species Library'!V46),FALSE)), "",VLOOKUP($A50,'Species Library'!$A$6:$Z$150,COLUMN('Species Library'!V46),FALSE))</f>
        <v/>
      </c>
      <c r="AA50" s="30" t="str">
        <f>IF(ISNA(VLOOKUP($A50,'Species Library'!$A$6:$Z$150,COLUMN('Species Library'!W46),FALSE)), "",VLOOKUP($A50,'Species Library'!$A$6:$Z$150,COLUMN('Species Library'!W46),FALSE))</f>
        <v/>
      </c>
      <c r="AB50" s="30" t="str">
        <f>IF(ISNA(VLOOKUP($A50,'Species Library'!$A$6:$Z$150,COLUMN('Species Library'!X46),FALSE)), "",VLOOKUP($A50,'Species Library'!$A$6:$Z$150,COLUMN('Species Library'!X46),FALSE))</f>
        <v/>
      </c>
      <c r="AC50" s="30" t="str">
        <f>IF(ISNA(VLOOKUP($A50,'Species Library'!$A$6:$Z$150,COLUMN('Species Library'!Y46),FALSE)), "",VLOOKUP($A50,'Species Library'!$A$6:$Z$150,COLUMN('Species Library'!Y46),FALSE))</f>
        <v/>
      </c>
      <c r="AD50" s="30" t="str">
        <f>IF(ISNA(VLOOKUP($A50,'Species Library'!$A$6:$Z$150,COLUMN('Species Library'!Z46),FALSE)), "",VLOOKUP($A50,'Species Library'!$A$6:$Z$150,COLUMN('Species Library'!Z46),FALSE))</f>
        <v/>
      </c>
    </row>
    <row r="51" spans="2:30" x14ac:dyDescent="0.4">
      <c r="B51" s="30" t="str">
        <f>IF(ISNA(VLOOKUP($A51,'Species Library'!$A$6:$Z$150,COLUMN('Species Library'!B47),FALSE)), "",VLOOKUP($A51,'Species Library'!$A$6:$Z$150,COLUMN('Species Library'!B47),FALSE))</f>
        <v/>
      </c>
      <c r="C51" s="30" t="str">
        <f>IF(ISNA(VLOOKUP($A51,'Species Library'!$A$6:$Z$150,COLUMN('Species Library'!C47),FALSE)), "",VLOOKUP($A51,'Species Library'!$A$6:$Z$150,COLUMN('Species Library'!C47),FALSE))</f>
        <v/>
      </c>
      <c r="D51" s="30" t="str">
        <f>IF(ISNA(VLOOKUP($A51,'Species Library'!$A$6:$Z$150,COLUMN('Species Library'!D47),FALSE)), "",VLOOKUP($A51,'Species Library'!$A$6:$Z$150,COLUMN('Species Library'!D47),FALSE))</f>
        <v/>
      </c>
      <c r="E51" s="30" t="str">
        <f>IF(ISNA(VLOOKUP($A51,'Species Library'!$A$6:$Z$150,COLUMN('Species Library'!E47),FALSE)), "",VLOOKUP($A51,'Species Library'!$A$6:$Z$150,COLUMN('Species Library'!E47),FALSE))</f>
        <v/>
      </c>
      <c r="F51" s="30" t="str">
        <f>IF(ISNA(VLOOKUP($A51,'Species Library'!$A$6:$Z$150,COLUMN('Species Library'!F47),FALSE)), "",VLOOKUP($A51,'Species Library'!$A$6:$Z$150,COLUMN('Species Library'!F47),FALSE))</f>
        <v/>
      </c>
      <c r="G51" s="30" t="str">
        <f t="shared" si="0"/>
        <v/>
      </c>
      <c r="H51" s="30" t="str">
        <f>IF(ISNA(VLOOKUP($A51,'Species Library'!$A$6:$Z$150,COLUMN('Species Library'!G47),FALSE)), "",VLOOKUP($A51,'Species Library'!$A$6:$Z$150,COLUMN('Species Library'!G47),FALSE))</f>
        <v/>
      </c>
      <c r="I51" s="30" t="str">
        <f>IF(ISNA(VLOOKUP($A51,'Species Library'!$A$6:$Z$150,COLUMN('Species Library'!H47),FALSE)), "",VLOOKUP($A51,'Species Library'!$A$6:$Z$150,COLUMN('Species Library'!H47),FALSE))</f>
        <v/>
      </c>
      <c r="J51" s="30" t="str">
        <f>IF(ISNA(VLOOKUP($A51,'Species Library'!$A$6:$Z$150,COLUMN('Species Library'!I47),FALSE)), "",VLOOKUP($A51,'Species Library'!$A$6:$Z$150,COLUMN('Species Library'!I47),FALSE))</f>
        <v/>
      </c>
      <c r="K51" s="30" t="str">
        <f>IF(ISNA(VLOOKUP($A51,'Species Library'!$A$6:$Z$150,COLUMN('Species Library'!J47),FALSE)), "",VLOOKUP($A51,'Species Library'!$A$6:$Z$150,COLUMN('Species Library'!J47),FALSE))</f>
        <v/>
      </c>
      <c r="L51" s="30" t="str">
        <f>IF(ISNA(VLOOKUP($A51,'Species Library'!$A$6:$Z$150,COLUMN('Species Library'!K47),FALSE)), "",VLOOKUP($A51,'Species Library'!$A$6:$Z$150,COLUMN('Species Library'!K47),FALSE))</f>
        <v/>
      </c>
      <c r="M51" s="30" t="str">
        <f t="shared" si="1"/>
        <v/>
      </c>
      <c r="N51" s="30" t="str">
        <f>IF(ISNA(VLOOKUP($A51,'Species Library'!$A$6:$Z$150,COLUMN('Species Library'!L47),FALSE)), "",VLOOKUP($A51,'Species Library'!$A$6:$Z$150,COLUMN('Species Library'!L47),FALSE))</f>
        <v/>
      </c>
      <c r="O51" s="30" t="str">
        <f>IF(ISNA(VLOOKUP($A51,'Species Library'!$A$6:$Z$150,COLUMN('Species Library'!M47),FALSE)), "",VLOOKUP($A51,'Species Library'!$A$6:$Z$150,COLUMN('Species Library'!M47),FALSE))</f>
        <v/>
      </c>
      <c r="P51" s="30" t="str">
        <f>IF(ISNA(VLOOKUP($A51,'Species Library'!$A$6:$Z$150,COLUMN('Species Library'!N47),FALSE)), "",VLOOKUP($A51,'Species Library'!$A$6:$Z$150,COLUMN('Species Library'!N47),FALSE))</f>
        <v/>
      </c>
      <c r="Q51" s="30" t="str">
        <f t="shared" si="2"/>
        <v/>
      </c>
      <c r="R51" s="30" t="str">
        <f>IF(ISNA(VLOOKUP($A51,'Species Library'!$A$6:$Z$150,COLUMN('Species Library'!O47),FALSE)), "",VLOOKUP($A51,'Species Library'!$A$6:$Z$150,COLUMN('Species Library'!O47),FALSE))</f>
        <v/>
      </c>
      <c r="S51" s="30" t="str">
        <f>IF(ISNA(VLOOKUP($A51,'Species Library'!$A$6:$Z$150,COLUMN('Species Library'!P47),FALSE)), "",VLOOKUP($A51,'Species Library'!$A$6:$Z$150,COLUMN('Species Library'!P47),FALSE))</f>
        <v/>
      </c>
      <c r="T51" s="30" t="str">
        <f>IF(ISNA(VLOOKUP($A51,'Species Library'!$A$6:$Z$150,COLUMN('Species Library'!Q47),FALSE)), "",VLOOKUP($A51,'Species Library'!$A$6:$Z$150,COLUMN('Species Library'!Q47),FALSE))</f>
        <v/>
      </c>
      <c r="U51" s="30" t="str">
        <f>IF(ISNA(VLOOKUP($A51,'Species Library'!$A$6:$Z$150,COLUMN('Species Library'!R47),FALSE)), "",VLOOKUP($A51,'Species Library'!$A$6:$Z$150,COLUMN('Species Library'!R47),FALSE))</f>
        <v/>
      </c>
      <c r="V51" s="30" t="str">
        <f>IF(ISNA(VLOOKUP($A51,'Species Library'!$A$6:$Z$150,COLUMN('Species Library'!S47),FALSE)), "",VLOOKUP($A51,'Species Library'!$A$6:$Z$150,COLUMN('Species Library'!S47),FALSE))</f>
        <v/>
      </c>
      <c r="W51" s="30" t="str">
        <f>IF(ISNA(VLOOKUP($A51,'Species Library'!$A$6:$Z$150,COLUMN('Species Library'!T47),FALSE)), "",VLOOKUP($A51,'Species Library'!$A$6:$Z$150,COLUMN('Species Library'!T47),FALSE))</f>
        <v/>
      </c>
      <c r="X51" s="30" t="str">
        <f t="shared" si="3"/>
        <v/>
      </c>
      <c r="Y51" s="30" t="str">
        <f>IF(ISNA(VLOOKUP($A51,'Species Library'!$A$6:$Z$150,COLUMN('Species Library'!U47),FALSE)), "",VLOOKUP($A51,'Species Library'!$A$6:$Z$150,COLUMN('Species Library'!U47),FALSE))</f>
        <v/>
      </c>
      <c r="Z51" s="30" t="str">
        <f>IF(ISNA(VLOOKUP($A51,'Species Library'!$A$6:$Z$150,COLUMN('Species Library'!V47),FALSE)), "",VLOOKUP($A51,'Species Library'!$A$6:$Z$150,COLUMN('Species Library'!V47),FALSE))</f>
        <v/>
      </c>
      <c r="AA51" s="30" t="str">
        <f>IF(ISNA(VLOOKUP($A51,'Species Library'!$A$6:$Z$150,COLUMN('Species Library'!W47),FALSE)), "",VLOOKUP($A51,'Species Library'!$A$6:$Z$150,COLUMN('Species Library'!W47),FALSE))</f>
        <v/>
      </c>
      <c r="AB51" s="30" t="str">
        <f>IF(ISNA(VLOOKUP($A51,'Species Library'!$A$6:$Z$150,COLUMN('Species Library'!X47),FALSE)), "",VLOOKUP($A51,'Species Library'!$A$6:$Z$150,COLUMN('Species Library'!X47),FALSE))</f>
        <v/>
      </c>
      <c r="AC51" s="30" t="str">
        <f>IF(ISNA(VLOOKUP($A51,'Species Library'!$A$6:$Z$150,COLUMN('Species Library'!Y47),FALSE)), "",VLOOKUP($A51,'Species Library'!$A$6:$Z$150,COLUMN('Species Library'!Y47),FALSE))</f>
        <v/>
      </c>
      <c r="AD51" s="30" t="str">
        <f>IF(ISNA(VLOOKUP($A51,'Species Library'!$A$6:$Z$150,COLUMN('Species Library'!Z47),FALSE)), "",VLOOKUP($A51,'Species Library'!$A$6:$Z$150,COLUMN('Species Library'!Z47),FALSE))</f>
        <v/>
      </c>
    </row>
    <row r="52" spans="2:30" x14ac:dyDescent="0.4">
      <c r="B52" s="30" t="str">
        <f>IF(ISNA(VLOOKUP($A52,'Species Library'!$A$6:$Z$150,COLUMN('Species Library'!B48),FALSE)), "",VLOOKUP($A52,'Species Library'!$A$6:$Z$150,COLUMN('Species Library'!B48),FALSE))</f>
        <v/>
      </c>
      <c r="C52" s="30" t="str">
        <f>IF(ISNA(VLOOKUP($A52,'Species Library'!$A$6:$Z$150,COLUMN('Species Library'!C48),FALSE)), "",VLOOKUP($A52,'Species Library'!$A$6:$Z$150,COLUMN('Species Library'!C48),FALSE))</f>
        <v/>
      </c>
      <c r="D52" s="30" t="str">
        <f>IF(ISNA(VLOOKUP($A52,'Species Library'!$A$6:$Z$150,COLUMN('Species Library'!D48),FALSE)), "",VLOOKUP($A52,'Species Library'!$A$6:$Z$150,COLUMN('Species Library'!D48),FALSE))</f>
        <v/>
      </c>
      <c r="E52" s="30" t="str">
        <f>IF(ISNA(VLOOKUP($A52,'Species Library'!$A$6:$Z$150,COLUMN('Species Library'!E48),FALSE)), "",VLOOKUP($A52,'Species Library'!$A$6:$Z$150,COLUMN('Species Library'!E48),FALSE))</f>
        <v/>
      </c>
      <c r="F52" s="30" t="str">
        <f>IF(ISNA(VLOOKUP($A52,'Species Library'!$A$6:$Z$150,COLUMN('Species Library'!F48),FALSE)), "",VLOOKUP($A52,'Species Library'!$A$6:$Z$150,COLUMN('Species Library'!F48),FALSE))</f>
        <v/>
      </c>
      <c r="G52" s="30" t="str">
        <f t="shared" si="0"/>
        <v/>
      </c>
      <c r="H52" s="30" t="str">
        <f>IF(ISNA(VLOOKUP($A52,'Species Library'!$A$6:$Z$150,COLUMN('Species Library'!G48),FALSE)), "",VLOOKUP($A52,'Species Library'!$A$6:$Z$150,COLUMN('Species Library'!G48),FALSE))</f>
        <v/>
      </c>
      <c r="I52" s="30" t="str">
        <f>IF(ISNA(VLOOKUP($A52,'Species Library'!$A$6:$Z$150,COLUMN('Species Library'!H48),FALSE)), "",VLOOKUP($A52,'Species Library'!$A$6:$Z$150,COLUMN('Species Library'!H48),FALSE))</f>
        <v/>
      </c>
      <c r="J52" s="30" t="str">
        <f>IF(ISNA(VLOOKUP($A52,'Species Library'!$A$6:$Z$150,COLUMN('Species Library'!I48),FALSE)), "",VLOOKUP($A52,'Species Library'!$A$6:$Z$150,COLUMN('Species Library'!I48),FALSE))</f>
        <v/>
      </c>
      <c r="K52" s="30" t="str">
        <f>IF(ISNA(VLOOKUP($A52,'Species Library'!$A$6:$Z$150,COLUMN('Species Library'!J48),FALSE)), "",VLOOKUP($A52,'Species Library'!$A$6:$Z$150,COLUMN('Species Library'!J48),FALSE))</f>
        <v/>
      </c>
      <c r="L52" s="30" t="str">
        <f>IF(ISNA(VLOOKUP($A52,'Species Library'!$A$6:$Z$150,COLUMN('Species Library'!K48),FALSE)), "",VLOOKUP($A52,'Species Library'!$A$6:$Z$150,COLUMN('Species Library'!K48),FALSE))</f>
        <v/>
      </c>
      <c r="M52" s="30" t="str">
        <f t="shared" si="1"/>
        <v/>
      </c>
      <c r="N52" s="30" t="str">
        <f>IF(ISNA(VLOOKUP($A52,'Species Library'!$A$6:$Z$150,COLUMN('Species Library'!L48),FALSE)), "",VLOOKUP($A52,'Species Library'!$A$6:$Z$150,COLUMN('Species Library'!L48),FALSE))</f>
        <v/>
      </c>
      <c r="O52" s="30" t="str">
        <f>IF(ISNA(VLOOKUP($A52,'Species Library'!$A$6:$Z$150,COLUMN('Species Library'!M48),FALSE)), "",VLOOKUP($A52,'Species Library'!$A$6:$Z$150,COLUMN('Species Library'!M48),FALSE))</f>
        <v/>
      </c>
      <c r="P52" s="30" t="str">
        <f>IF(ISNA(VLOOKUP($A52,'Species Library'!$A$6:$Z$150,COLUMN('Species Library'!N48),FALSE)), "",VLOOKUP($A52,'Species Library'!$A$6:$Z$150,COLUMN('Species Library'!N48),FALSE))</f>
        <v/>
      </c>
      <c r="Q52" s="30" t="str">
        <f t="shared" si="2"/>
        <v/>
      </c>
      <c r="R52" s="30" t="str">
        <f>IF(ISNA(VLOOKUP($A52,'Species Library'!$A$6:$Z$150,COLUMN('Species Library'!O48),FALSE)), "",VLOOKUP($A52,'Species Library'!$A$6:$Z$150,COLUMN('Species Library'!O48),FALSE))</f>
        <v/>
      </c>
      <c r="S52" s="30" t="str">
        <f>IF(ISNA(VLOOKUP($A52,'Species Library'!$A$6:$Z$150,COLUMN('Species Library'!P48),FALSE)), "",VLOOKUP($A52,'Species Library'!$A$6:$Z$150,COLUMN('Species Library'!P48),FALSE))</f>
        <v/>
      </c>
      <c r="T52" s="30" t="str">
        <f>IF(ISNA(VLOOKUP($A52,'Species Library'!$A$6:$Z$150,COLUMN('Species Library'!Q48),FALSE)), "",VLOOKUP($A52,'Species Library'!$A$6:$Z$150,COLUMN('Species Library'!Q48),FALSE))</f>
        <v/>
      </c>
      <c r="U52" s="30" t="str">
        <f>IF(ISNA(VLOOKUP($A52,'Species Library'!$A$6:$Z$150,COLUMN('Species Library'!R48),FALSE)), "",VLOOKUP($A52,'Species Library'!$A$6:$Z$150,COLUMN('Species Library'!R48),FALSE))</f>
        <v/>
      </c>
      <c r="V52" s="30" t="str">
        <f>IF(ISNA(VLOOKUP($A52,'Species Library'!$A$6:$Z$150,COLUMN('Species Library'!S48),FALSE)), "",VLOOKUP($A52,'Species Library'!$A$6:$Z$150,COLUMN('Species Library'!S48),FALSE))</f>
        <v/>
      </c>
      <c r="W52" s="30" t="str">
        <f>IF(ISNA(VLOOKUP($A52,'Species Library'!$A$6:$Z$150,COLUMN('Species Library'!T48),FALSE)), "",VLOOKUP($A52,'Species Library'!$A$6:$Z$150,COLUMN('Species Library'!T48),FALSE))</f>
        <v/>
      </c>
      <c r="X52" s="30" t="str">
        <f t="shared" si="3"/>
        <v/>
      </c>
      <c r="Y52" s="30" t="str">
        <f>IF(ISNA(VLOOKUP($A52,'Species Library'!$A$6:$Z$150,COLUMN('Species Library'!U48),FALSE)), "",VLOOKUP($A52,'Species Library'!$A$6:$Z$150,COLUMN('Species Library'!U48),FALSE))</f>
        <v/>
      </c>
      <c r="Z52" s="30" t="str">
        <f>IF(ISNA(VLOOKUP($A52,'Species Library'!$A$6:$Z$150,COLUMN('Species Library'!V48),FALSE)), "",VLOOKUP($A52,'Species Library'!$A$6:$Z$150,COLUMN('Species Library'!V48),FALSE))</f>
        <v/>
      </c>
      <c r="AA52" s="30" t="str">
        <f>IF(ISNA(VLOOKUP($A52,'Species Library'!$A$6:$Z$150,COLUMN('Species Library'!W48),FALSE)), "",VLOOKUP($A52,'Species Library'!$A$6:$Z$150,COLUMN('Species Library'!W48),FALSE))</f>
        <v/>
      </c>
      <c r="AB52" s="30" t="str">
        <f>IF(ISNA(VLOOKUP($A52,'Species Library'!$A$6:$Z$150,COLUMN('Species Library'!X48),FALSE)), "",VLOOKUP($A52,'Species Library'!$A$6:$Z$150,COLUMN('Species Library'!X48),FALSE))</f>
        <v/>
      </c>
      <c r="AC52" s="30" t="str">
        <f>IF(ISNA(VLOOKUP($A52,'Species Library'!$A$6:$Z$150,COLUMN('Species Library'!Y48),FALSE)), "",VLOOKUP($A52,'Species Library'!$A$6:$Z$150,COLUMN('Species Library'!Y48),FALSE))</f>
        <v/>
      </c>
      <c r="AD52" s="30" t="str">
        <f>IF(ISNA(VLOOKUP($A52,'Species Library'!$A$6:$Z$150,COLUMN('Species Library'!Z48),FALSE)), "",VLOOKUP($A52,'Species Library'!$A$6:$Z$150,COLUMN('Species Library'!Z48),FALSE))</f>
        <v/>
      </c>
    </row>
    <row r="53" spans="2:30" x14ac:dyDescent="0.4">
      <c r="B53" s="30" t="str">
        <f>IF(ISNA(VLOOKUP($A53,'Species Library'!$A$6:$Z$150,COLUMN('Species Library'!B49),FALSE)), "",VLOOKUP($A53,'Species Library'!$A$6:$Z$150,COLUMN('Species Library'!B49),FALSE))</f>
        <v/>
      </c>
      <c r="C53" s="30" t="str">
        <f>IF(ISNA(VLOOKUP($A53,'Species Library'!$A$6:$Z$150,COLUMN('Species Library'!C49),FALSE)), "",VLOOKUP($A53,'Species Library'!$A$6:$Z$150,COLUMN('Species Library'!C49),FALSE))</f>
        <v/>
      </c>
      <c r="D53" s="30" t="str">
        <f>IF(ISNA(VLOOKUP($A53,'Species Library'!$A$6:$Z$150,COLUMN('Species Library'!D49),FALSE)), "",VLOOKUP($A53,'Species Library'!$A$6:$Z$150,COLUMN('Species Library'!D49),FALSE))</f>
        <v/>
      </c>
      <c r="E53" s="30" t="str">
        <f>IF(ISNA(VLOOKUP($A53,'Species Library'!$A$6:$Z$150,COLUMN('Species Library'!E49),FALSE)), "",VLOOKUP($A53,'Species Library'!$A$6:$Z$150,COLUMN('Species Library'!E49),FALSE))</f>
        <v/>
      </c>
      <c r="F53" s="30" t="str">
        <f>IF(ISNA(VLOOKUP($A53,'Species Library'!$A$6:$Z$150,COLUMN('Species Library'!F49),FALSE)), "",VLOOKUP($A53,'Species Library'!$A$6:$Z$150,COLUMN('Species Library'!F49),FALSE))</f>
        <v/>
      </c>
      <c r="G53" s="30" t="str">
        <f t="shared" si="0"/>
        <v/>
      </c>
      <c r="H53" s="30" t="str">
        <f>IF(ISNA(VLOOKUP($A53,'Species Library'!$A$6:$Z$150,COLUMN('Species Library'!G49),FALSE)), "",VLOOKUP($A53,'Species Library'!$A$6:$Z$150,COLUMN('Species Library'!G49),FALSE))</f>
        <v/>
      </c>
      <c r="I53" s="30" t="str">
        <f>IF(ISNA(VLOOKUP($A53,'Species Library'!$A$6:$Z$150,COLUMN('Species Library'!H49),FALSE)), "",VLOOKUP($A53,'Species Library'!$A$6:$Z$150,COLUMN('Species Library'!H49),FALSE))</f>
        <v/>
      </c>
      <c r="J53" s="30" t="str">
        <f>IF(ISNA(VLOOKUP($A53,'Species Library'!$A$6:$Z$150,COLUMN('Species Library'!I49),FALSE)), "",VLOOKUP($A53,'Species Library'!$A$6:$Z$150,COLUMN('Species Library'!I49),FALSE))</f>
        <v/>
      </c>
      <c r="K53" s="30" t="str">
        <f>IF(ISNA(VLOOKUP($A53,'Species Library'!$A$6:$Z$150,COLUMN('Species Library'!J49),FALSE)), "",VLOOKUP($A53,'Species Library'!$A$6:$Z$150,COLUMN('Species Library'!J49),FALSE))</f>
        <v/>
      </c>
      <c r="L53" s="30" t="str">
        <f>IF(ISNA(VLOOKUP($A53,'Species Library'!$A$6:$Z$150,COLUMN('Species Library'!K49),FALSE)), "",VLOOKUP($A53,'Species Library'!$A$6:$Z$150,COLUMN('Species Library'!K49),FALSE))</f>
        <v/>
      </c>
      <c r="M53" s="30" t="str">
        <f t="shared" si="1"/>
        <v/>
      </c>
      <c r="N53" s="30" t="str">
        <f>IF(ISNA(VLOOKUP($A53,'Species Library'!$A$6:$Z$150,COLUMN('Species Library'!L49),FALSE)), "",VLOOKUP($A53,'Species Library'!$A$6:$Z$150,COLUMN('Species Library'!L49),FALSE))</f>
        <v/>
      </c>
      <c r="O53" s="30" t="str">
        <f>IF(ISNA(VLOOKUP($A53,'Species Library'!$A$6:$Z$150,COLUMN('Species Library'!M49),FALSE)), "",VLOOKUP($A53,'Species Library'!$A$6:$Z$150,COLUMN('Species Library'!M49),FALSE))</f>
        <v/>
      </c>
      <c r="P53" s="30" t="str">
        <f>IF(ISNA(VLOOKUP($A53,'Species Library'!$A$6:$Z$150,COLUMN('Species Library'!N49),FALSE)), "",VLOOKUP($A53,'Species Library'!$A$6:$Z$150,COLUMN('Species Library'!N49),FALSE))</f>
        <v/>
      </c>
      <c r="Q53" s="30" t="str">
        <f t="shared" si="2"/>
        <v/>
      </c>
      <c r="R53" s="30" t="str">
        <f>IF(ISNA(VLOOKUP($A53,'Species Library'!$A$6:$Z$150,COLUMN('Species Library'!O49),FALSE)), "",VLOOKUP($A53,'Species Library'!$A$6:$Z$150,COLUMN('Species Library'!O49),FALSE))</f>
        <v/>
      </c>
      <c r="S53" s="30" t="str">
        <f>IF(ISNA(VLOOKUP($A53,'Species Library'!$A$6:$Z$150,COLUMN('Species Library'!P49),FALSE)), "",VLOOKUP($A53,'Species Library'!$A$6:$Z$150,COLUMN('Species Library'!P49),FALSE))</f>
        <v/>
      </c>
      <c r="T53" s="30" t="str">
        <f>IF(ISNA(VLOOKUP($A53,'Species Library'!$A$6:$Z$150,COLUMN('Species Library'!Q49),FALSE)), "",VLOOKUP($A53,'Species Library'!$A$6:$Z$150,COLUMN('Species Library'!Q49),FALSE))</f>
        <v/>
      </c>
      <c r="U53" s="30" t="str">
        <f>IF(ISNA(VLOOKUP($A53,'Species Library'!$A$6:$Z$150,COLUMN('Species Library'!R49),FALSE)), "",VLOOKUP($A53,'Species Library'!$A$6:$Z$150,COLUMN('Species Library'!R49),FALSE))</f>
        <v/>
      </c>
      <c r="V53" s="30" t="str">
        <f>IF(ISNA(VLOOKUP($A53,'Species Library'!$A$6:$Z$150,COLUMN('Species Library'!S49),FALSE)), "",VLOOKUP($A53,'Species Library'!$A$6:$Z$150,COLUMN('Species Library'!S49),FALSE))</f>
        <v/>
      </c>
      <c r="W53" s="30" t="str">
        <f>IF(ISNA(VLOOKUP($A53,'Species Library'!$A$6:$Z$150,COLUMN('Species Library'!T49),FALSE)), "",VLOOKUP($A53,'Species Library'!$A$6:$Z$150,COLUMN('Species Library'!T49),FALSE))</f>
        <v/>
      </c>
      <c r="X53" s="30" t="str">
        <f t="shared" si="3"/>
        <v/>
      </c>
      <c r="Y53" s="30" t="str">
        <f>IF(ISNA(VLOOKUP($A53,'Species Library'!$A$6:$Z$150,COLUMN('Species Library'!U49),FALSE)), "",VLOOKUP($A53,'Species Library'!$A$6:$Z$150,COLUMN('Species Library'!U49),FALSE))</f>
        <v/>
      </c>
      <c r="Z53" s="30" t="str">
        <f>IF(ISNA(VLOOKUP($A53,'Species Library'!$A$6:$Z$150,COLUMN('Species Library'!V49),FALSE)), "",VLOOKUP($A53,'Species Library'!$A$6:$Z$150,COLUMN('Species Library'!V49),FALSE))</f>
        <v/>
      </c>
      <c r="AA53" s="30" t="str">
        <f>IF(ISNA(VLOOKUP($A53,'Species Library'!$A$6:$Z$150,COLUMN('Species Library'!W49),FALSE)), "",VLOOKUP($A53,'Species Library'!$A$6:$Z$150,COLUMN('Species Library'!W49),FALSE))</f>
        <v/>
      </c>
      <c r="AB53" s="30" t="str">
        <f>IF(ISNA(VLOOKUP($A53,'Species Library'!$A$6:$Z$150,COLUMN('Species Library'!X49),FALSE)), "",VLOOKUP($A53,'Species Library'!$A$6:$Z$150,COLUMN('Species Library'!X49),FALSE))</f>
        <v/>
      </c>
      <c r="AC53" s="30" t="str">
        <f>IF(ISNA(VLOOKUP($A53,'Species Library'!$A$6:$Z$150,COLUMN('Species Library'!Y49),FALSE)), "",VLOOKUP($A53,'Species Library'!$A$6:$Z$150,COLUMN('Species Library'!Y49),FALSE))</f>
        <v/>
      </c>
      <c r="AD53" s="30" t="str">
        <f>IF(ISNA(VLOOKUP($A53,'Species Library'!$A$6:$Z$150,COLUMN('Species Library'!Z49),FALSE)), "",VLOOKUP($A53,'Species Library'!$A$6:$Z$150,COLUMN('Species Library'!Z49),FALSE))</f>
        <v/>
      </c>
    </row>
    <row r="54" spans="2:30" x14ac:dyDescent="0.4">
      <c r="B54" s="30" t="str">
        <f>IF(ISNA(VLOOKUP($A54,'Species Library'!$A$6:$Z$150,COLUMN('Species Library'!B50),FALSE)), "",VLOOKUP($A54,'Species Library'!$A$6:$Z$150,COLUMN('Species Library'!B50),FALSE))</f>
        <v/>
      </c>
      <c r="C54" s="30" t="str">
        <f>IF(ISNA(VLOOKUP($A54,'Species Library'!$A$6:$Z$150,COLUMN('Species Library'!C50),FALSE)), "",VLOOKUP($A54,'Species Library'!$A$6:$Z$150,COLUMN('Species Library'!C50),FALSE))</f>
        <v/>
      </c>
      <c r="D54" s="30" t="str">
        <f>IF(ISNA(VLOOKUP($A54,'Species Library'!$A$6:$Z$150,COLUMN('Species Library'!D50),FALSE)), "",VLOOKUP($A54,'Species Library'!$A$6:$Z$150,COLUMN('Species Library'!D50),FALSE))</f>
        <v/>
      </c>
      <c r="E54" s="30" t="str">
        <f>IF(ISNA(VLOOKUP($A54,'Species Library'!$A$6:$Z$150,COLUMN('Species Library'!E50),FALSE)), "",VLOOKUP($A54,'Species Library'!$A$6:$Z$150,COLUMN('Species Library'!E50),FALSE))</f>
        <v/>
      </c>
      <c r="F54" s="30" t="str">
        <f>IF(ISNA(VLOOKUP($A54,'Species Library'!$A$6:$Z$150,COLUMN('Species Library'!F50),FALSE)), "",VLOOKUP($A54,'Species Library'!$A$6:$Z$150,COLUMN('Species Library'!F50),FALSE))</f>
        <v/>
      </c>
      <c r="G54" s="30" t="str">
        <f t="shared" si="0"/>
        <v/>
      </c>
      <c r="H54" s="30" t="str">
        <f>IF(ISNA(VLOOKUP($A54,'Species Library'!$A$6:$Z$150,COLUMN('Species Library'!G50),FALSE)), "",VLOOKUP($A54,'Species Library'!$A$6:$Z$150,COLUMN('Species Library'!G50),FALSE))</f>
        <v/>
      </c>
      <c r="I54" s="30" t="str">
        <f>IF(ISNA(VLOOKUP($A54,'Species Library'!$A$6:$Z$150,COLUMN('Species Library'!H50),FALSE)), "",VLOOKUP($A54,'Species Library'!$A$6:$Z$150,COLUMN('Species Library'!H50),FALSE))</f>
        <v/>
      </c>
      <c r="J54" s="30" t="str">
        <f>IF(ISNA(VLOOKUP($A54,'Species Library'!$A$6:$Z$150,COLUMN('Species Library'!I50),FALSE)), "",VLOOKUP($A54,'Species Library'!$A$6:$Z$150,COLUMN('Species Library'!I50),FALSE))</f>
        <v/>
      </c>
      <c r="K54" s="30" t="str">
        <f>IF(ISNA(VLOOKUP($A54,'Species Library'!$A$6:$Z$150,COLUMN('Species Library'!J50),FALSE)), "",VLOOKUP($A54,'Species Library'!$A$6:$Z$150,COLUMN('Species Library'!J50),FALSE))</f>
        <v/>
      </c>
      <c r="L54" s="30" t="str">
        <f>IF(ISNA(VLOOKUP($A54,'Species Library'!$A$6:$Z$150,COLUMN('Species Library'!K50),FALSE)), "",VLOOKUP($A54,'Species Library'!$A$6:$Z$150,COLUMN('Species Library'!K50),FALSE))</f>
        <v/>
      </c>
      <c r="M54" s="30" t="str">
        <f t="shared" si="1"/>
        <v/>
      </c>
      <c r="N54" s="30" t="str">
        <f>IF(ISNA(VLOOKUP($A54,'Species Library'!$A$6:$Z$150,COLUMN('Species Library'!L50),FALSE)), "",VLOOKUP($A54,'Species Library'!$A$6:$Z$150,COLUMN('Species Library'!L50),FALSE))</f>
        <v/>
      </c>
      <c r="O54" s="30" t="str">
        <f>IF(ISNA(VLOOKUP($A54,'Species Library'!$A$6:$Z$150,COLUMN('Species Library'!M50),FALSE)), "",VLOOKUP($A54,'Species Library'!$A$6:$Z$150,COLUMN('Species Library'!M50),FALSE))</f>
        <v/>
      </c>
      <c r="P54" s="30" t="str">
        <f>IF(ISNA(VLOOKUP($A54,'Species Library'!$A$6:$Z$150,COLUMN('Species Library'!N50),FALSE)), "",VLOOKUP($A54,'Species Library'!$A$6:$Z$150,COLUMN('Species Library'!N50),FALSE))</f>
        <v/>
      </c>
      <c r="Q54" s="30" t="str">
        <f t="shared" si="2"/>
        <v/>
      </c>
      <c r="R54" s="30" t="str">
        <f>IF(ISNA(VLOOKUP($A54,'Species Library'!$A$6:$Z$150,COLUMN('Species Library'!O50),FALSE)), "",VLOOKUP($A54,'Species Library'!$A$6:$Z$150,COLUMN('Species Library'!O50),FALSE))</f>
        <v/>
      </c>
      <c r="S54" s="30" t="str">
        <f>IF(ISNA(VLOOKUP($A54,'Species Library'!$A$6:$Z$150,COLUMN('Species Library'!P50),FALSE)), "",VLOOKUP($A54,'Species Library'!$A$6:$Z$150,COLUMN('Species Library'!P50),FALSE))</f>
        <v/>
      </c>
      <c r="T54" s="30" t="str">
        <f>IF(ISNA(VLOOKUP($A54,'Species Library'!$A$6:$Z$150,COLUMN('Species Library'!Q50),FALSE)), "",VLOOKUP($A54,'Species Library'!$A$6:$Z$150,COLUMN('Species Library'!Q50),FALSE))</f>
        <v/>
      </c>
      <c r="U54" s="30" t="str">
        <f>IF(ISNA(VLOOKUP($A54,'Species Library'!$A$6:$Z$150,COLUMN('Species Library'!R50),FALSE)), "",VLOOKUP($A54,'Species Library'!$A$6:$Z$150,COLUMN('Species Library'!R50),FALSE))</f>
        <v/>
      </c>
      <c r="V54" s="30" t="str">
        <f>IF(ISNA(VLOOKUP($A54,'Species Library'!$A$6:$Z$150,COLUMN('Species Library'!S50),FALSE)), "",VLOOKUP($A54,'Species Library'!$A$6:$Z$150,COLUMN('Species Library'!S50),FALSE))</f>
        <v/>
      </c>
      <c r="W54" s="30" t="str">
        <f>IF(ISNA(VLOOKUP($A54,'Species Library'!$A$6:$Z$150,COLUMN('Species Library'!T50),FALSE)), "",VLOOKUP($A54,'Species Library'!$A$6:$Z$150,COLUMN('Species Library'!T50),FALSE))</f>
        <v/>
      </c>
      <c r="X54" s="30" t="str">
        <f t="shared" si="3"/>
        <v/>
      </c>
      <c r="Y54" s="30" t="str">
        <f>IF(ISNA(VLOOKUP($A54,'Species Library'!$A$6:$Z$150,COLUMN('Species Library'!U50),FALSE)), "",VLOOKUP($A54,'Species Library'!$A$6:$Z$150,COLUMN('Species Library'!U50),FALSE))</f>
        <v/>
      </c>
      <c r="Z54" s="30" t="str">
        <f>IF(ISNA(VLOOKUP($A54,'Species Library'!$A$6:$Z$150,COLUMN('Species Library'!V50),FALSE)), "",VLOOKUP($A54,'Species Library'!$A$6:$Z$150,COLUMN('Species Library'!V50),FALSE))</f>
        <v/>
      </c>
      <c r="AA54" s="30" t="str">
        <f>IF(ISNA(VLOOKUP($A54,'Species Library'!$A$6:$Z$150,COLUMN('Species Library'!W50),FALSE)), "",VLOOKUP($A54,'Species Library'!$A$6:$Z$150,COLUMN('Species Library'!W50),FALSE))</f>
        <v/>
      </c>
      <c r="AB54" s="30" t="str">
        <f>IF(ISNA(VLOOKUP($A54,'Species Library'!$A$6:$Z$150,COLUMN('Species Library'!X50),FALSE)), "",VLOOKUP($A54,'Species Library'!$A$6:$Z$150,COLUMN('Species Library'!X50),FALSE))</f>
        <v/>
      </c>
      <c r="AC54" s="30" t="str">
        <f>IF(ISNA(VLOOKUP($A54,'Species Library'!$A$6:$Z$150,COLUMN('Species Library'!Y50),FALSE)), "",VLOOKUP($A54,'Species Library'!$A$6:$Z$150,COLUMN('Species Library'!Y50),FALSE))</f>
        <v/>
      </c>
      <c r="AD54" s="30" t="str">
        <f>IF(ISNA(VLOOKUP($A54,'Species Library'!$A$6:$Z$150,COLUMN('Species Library'!Z50),FALSE)), "",VLOOKUP($A54,'Species Library'!$A$6:$Z$150,COLUMN('Species Library'!Z50),FALSE))</f>
        <v/>
      </c>
    </row>
    <row r="55" spans="2:30" x14ac:dyDescent="0.4">
      <c r="B55" s="30" t="str">
        <f>IF(ISNA(VLOOKUP($A55,'Species Library'!$A$6:$Z$150,COLUMN('Species Library'!B51),FALSE)), "",VLOOKUP($A55,'Species Library'!$A$6:$Z$150,COLUMN('Species Library'!B51),FALSE))</f>
        <v/>
      </c>
      <c r="C55" s="30" t="str">
        <f>IF(ISNA(VLOOKUP($A55,'Species Library'!$A$6:$Z$150,COLUMN('Species Library'!C51),FALSE)), "",VLOOKUP($A55,'Species Library'!$A$6:$Z$150,COLUMN('Species Library'!C51),FALSE))</f>
        <v/>
      </c>
      <c r="D55" s="30" t="str">
        <f>IF(ISNA(VLOOKUP($A55,'Species Library'!$A$6:$Z$150,COLUMN('Species Library'!D51),FALSE)), "",VLOOKUP($A55,'Species Library'!$A$6:$Z$150,COLUMN('Species Library'!D51),FALSE))</f>
        <v/>
      </c>
      <c r="E55" s="30" t="str">
        <f>IF(ISNA(VLOOKUP($A55,'Species Library'!$A$6:$Z$150,COLUMN('Species Library'!E51),FALSE)), "",VLOOKUP($A55,'Species Library'!$A$6:$Z$150,COLUMN('Species Library'!E51),FALSE))</f>
        <v/>
      </c>
      <c r="F55" s="30" t="str">
        <f>IF(ISNA(VLOOKUP($A55,'Species Library'!$A$6:$Z$150,COLUMN('Species Library'!F51),FALSE)), "",VLOOKUP($A55,'Species Library'!$A$6:$Z$150,COLUMN('Species Library'!F51),FALSE))</f>
        <v/>
      </c>
      <c r="G55" s="30" t="str">
        <f t="shared" si="0"/>
        <v/>
      </c>
      <c r="H55" s="30" t="str">
        <f>IF(ISNA(VLOOKUP($A55,'Species Library'!$A$6:$Z$150,COLUMN('Species Library'!G51),FALSE)), "",VLOOKUP($A55,'Species Library'!$A$6:$Z$150,COLUMN('Species Library'!G51),FALSE))</f>
        <v/>
      </c>
      <c r="I55" s="30" t="str">
        <f>IF(ISNA(VLOOKUP($A55,'Species Library'!$A$6:$Z$150,COLUMN('Species Library'!H51),FALSE)), "",VLOOKUP($A55,'Species Library'!$A$6:$Z$150,COLUMN('Species Library'!H51),FALSE))</f>
        <v/>
      </c>
      <c r="J55" s="30" t="str">
        <f>IF(ISNA(VLOOKUP($A55,'Species Library'!$A$6:$Z$150,COLUMN('Species Library'!I51),FALSE)), "",VLOOKUP($A55,'Species Library'!$A$6:$Z$150,COLUMN('Species Library'!I51),FALSE))</f>
        <v/>
      </c>
      <c r="K55" s="30" t="str">
        <f>IF(ISNA(VLOOKUP($A55,'Species Library'!$A$6:$Z$150,COLUMN('Species Library'!J51),FALSE)), "",VLOOKUP($A55,'Species Library'!$A$6:$Z$150,COLUMN('Species Library'!J51),FALSE))</f>
        <v/>
      </c>
      <c r="L55" s="30" t="str">
        <f>IF(ISNA(VLOOKUP($A55,'Species Library'!$A$6:$Z$150,COLUMN('Species Library'!K51),FALSE)), "",VLOOKUP($A55,'Species Library'!$A$6:$Z$150,COLUMN('Species Library'!K51),FALSE))</f>
        <v/>
      </c>
      <c r="M55" s="30" t="str">
        <f t="shared" si="1"/>
        <v/>
      </c>
      <c r="N55" s="30" t="str">
        <f>IF(ISNA(VLOOKUP($A55,'Species Library'!$A$6:$Z$150,COLUMN('Species Library'!L51),FALSE)), "",VLOOKUP($A55,'Species Library'!$A$6:$Z$150,COLUMN('Species Library'!L51),FALSE))</f>
        <v/>
      </c>
      <c r="O55" s="30" t="str">
        <f>IF(ISNA(VLOOKUP($A55,'Species Library'!$A$6:$Z$150,COLUMN('Species Library'!M51),FALSE)), "",VLOOKUP($A55,'Species Library'!$A$6:$Z$150,COLUMN('Species Library'!M51),FALSE))</f>
        <v/>
      </c>
      <c r="P55" s="30" t="str">
        <f>IF(ISNA(VLOOKUP($A55,'Species Library'!$A$6:$Z$150,COLUMN('Species Library'!N51),FALSE)), "",VLOOKUP($A55,'Species Library'!$A$6:$Z$150,COLUMN('Species Library'!N51),FALSE))</f>
        <v/>
      </c>
      <c r="Q55" s="30" t="str">
        <f t="shared" si="2"/>
        <v/>
      </c>
      <c r="R55" s="30" t="str">
        <f>IF(ISNA(VLOOKUP($A55,'Species Library'!$A$6:$Z$150,COLUMN('Species Library'!O51),FALSE)), "",VLOOKUP($A55,'Species Library'!$A$6:$Z$150,COLUMN('Species Library'!O51),FALSE))</f>
        <v/>
      </c>
      <c r="S55" s="30" t="str">
        <f>IF(ISNA(VLOOKUP($A55,'Species Library'!$A$6:$Z$150,COLUMN('Species Library'!P51),FALSE)), "",VLOOKUP($A55,'Species Library'!$A$6:$Z$150,COLUMN('Species Library'!P51),FALSE))</f>
        <v/>
      </c>
      <c r="T55" s="30" t="str">
        <f>IF(ISNA(VLOOKUP($A55,'Species Library'!$A$6:$Z$150,COLUMN('Species Library'!Q51),FALSE)), "",VLOOKUP($A55,'Species Library'!$A$6:$Z$150,COLUMN('Species Library'!Q51),FALSE))</f>
        <v/>
      </c>
      <c r="U55" s="30" t="str">
        <f>IF(ISNA(VLOOKUP($A55,'Species Library'!$A$6:$Z$150,COLUMN('Species Library'!R51),FALSE)), "",VLOOKUP($A55,'Species Library'!$A$6:$Z$150,COLUMN('Species Library'!R51),FALSE))</f>
        <v/>
      </c>
      <c r="V55" s="30" t="str">
        <f>IF(ISNA(VLOOKUP($A55,'Species Library'!$A$6:$Z$150,COLUMN('Species Library'!S51),FALSE)), "",VLOOKUP($A55,'Species Library'!$A$6:$Z$150,COLUMN('Species Library'!S51),FALSE))</f>
        <v/>
      </c>
      <c r="W55" s="30" t="str">
        <f>IF(ISNA(VLOOKUP($A55,'Species Library'!$A$6:$Z$150,COLUMN('Species Library'!T51),FALSE)), "",VLOOKUP($A55,'Species Library'!$A$6:$Z$150,COLUMN('Species Library'!T51),FALSE))</f>
        <v/>
      </c>
      <c r="X55" s="30" t="str">
        <f t="shared" si="3"/>
        <v/>
      </c>
      <c r="Y55" s="30" t="str">
        <f>IF(ISNA(VLOOKUP($A55,'Species Library'!$A$6:$Z$150,COLUMN('Species Library'!U51),FALSE)), "",VLOOKUP($A55,'Species Library'!$A$6:$Z$150,COLUMN('Species Library'!U51),FALSE))</f>
        <v/>
      </c>
      <c r="Z55" s="30" t="str">
        <f>IF(ISNA(VLOOKUP($A55,'Species Library'!$A$6:$Z$150,COLUMN('Species Library'!V51),FALSE)), "",VLOOKUP($A55,'Species Library'!$A$6:$Z$150,COLUMN('Species Library'!V51),FALSE))</f>
        <v/>
      </c>
      <c r="AA55" s="30" t="str">
        <f>IF(ISNA(VLOOKUP($A55,'Species Library'!$A$6:$Z$150,COLUMN('Species Library'!W51),FALSE)), "",VLOOKUP($A55,'Species Library'!$A$6:$Z$150,COLUMN('Species Library'!W51),FALSE))</f>
        <v/>
      </c>
      <c r="AB55" s="30" t="str">
        <f>IF(ISNA(VLOOKUP($A55,'Species Library'!$A$6:$Z$150,COLUMN('Species Library'!X51),FALSE)), "",VLOOKUP($A55,'Species Library'!$A$6:$Z$150,COLUMN('Species Library'!X51),FALSE))</f>
        <v/>
      </c>
      <c r="AC55" s="30" t="str">
        <f>IF(ISNA(VLOOKUP($A55,'Species Library'!$A$6:$Z$150,COLUMN('Species Library'!Y51),FALSE)), "",VLOOKUP($A55,'Species Library'!$A$6:$Z$150,COLUMN('Species Library'!Y51),FALSE))</f>
        <v/>
      </c>
      <c r="AD55" s="30" t="str">
        <f>IF(ISNA(VLOOKUP($A55,'Species Library'!$A$6:$Z$150,COLUMN('Species Library'!Z51),FALSE)), "",VLOOKUP($A55,'Species Library'!$A$6:$Z$150,COLUMN('Species Library'!Z51),FALSE))</f>
        <v/>
      </c>
    </row>
    <row r="56" spans="2:30" x14ac:dyDescent="0.4">
      <c r="B56" s="30" t="str">
        <f>IF(ISNA(VLOOKUP($A56,'Species Library'!$A$6:$Z$150,COLUMN('Species Library'!B52),FALSE)), "",VLOOKUP($A56,'Species Library'!$A$6:$Z$150,COLUMN('Species Library'!B52),FALSE))</f>
        <v/>
      </c>
      <c r="C56" s="30" t="str">
        <f>IF(ISNA(VLOOKUP($A56,'Species Library'!$A$6:$Z$150,COLUMN('Species Library'!C52),FALSE)), "",VLOOKUP($A56,'Species Library'!$A$6:$Z$150,COLUMN('Species Library'!C52),FALSE))</f>
        <v/>
      </c>
      <c r="D56" s="30" t="str">
        <f>IF(ISNA(VLOOKUP($A56,'Species Library'!$A$6:$Z$150,COLUMN('Species Library'!D52),FALSE)), "",VLOOKUP($A56,'Species Library'!$A$6:$Z$150,COLUMN('Species Library'!D52),FALSE))</f>
        <v/>
      </c>
      <c r="E56" s="30" t="str">
        <f>IF(ISNA(VLOOKUP($A56,'Species Library'!$A$6:$Z$150,COLUMN('Species Library'!E52),FALSE)), "",VLOOKUP($A56,'Species Library'!$A$6:$Z$150,COLUMN('Species Library'!E52),FALSE))</f>
        <v/>
      </c>
      <c r="F56" s="30" t="str">
        <f>IF(ISNA(VLOOKUP($A56,'Species Library'!$A$6:$Z$150,COLUMN('Species Library'!F52),FALSE)), "",VLOOKUP($A56,'Species Library'!$A$6:$Z$150,COLUMN('Species Library'!F52),FALSE))</f>
        <v/>
      </c>
      <c r="G56" s="30" t="str">
        <f t="shared" si="0"/>
        <v/>
      </c>
      <c r="H56" s="30" t="str">
        <f>IF(ISNA(VLOOKUP($A56,'Species Library'!$A$6:$Z$150,COLUMN('Species Library'!G52),FALSE)), "",VLOOKUP($A56,'Species Library'!$A$6:$Z$150,COLUMN('Species Library'!G52),FALSE))</f>
        <v/>
      </c>
      <c r="I56" s="30" t="str">
        <f>IF(ISNA(VLOOKUP($A56,'Species Library'!$A$6:$Z$150,COLUMN('Species Library'!H52),FALSE)), "",VLOOKUP($A56,'Species Library'!$A$6:$Z$150,COLUMN('Species Library'!H52),FALSE))</f>
        <v/>
      </c>
      <c r="J56" s="30" t="str">
        <f>IF(ISNA(VLOOKUP($A56,'Species Library'!$A$6:$Z$150,COLUMN('Species Library'!I52),FALSE)), "",VLOOKUP($A56,'Species Library'!$A$6:$Z$150,COLUMN('Species Library'!I52),FALSE))</f>
        <v/>
      </c>
      <c r="K56" s="30" t="str">
        <f>IF(ISNA(VLOOKUP($A56,'Species Library'!$A$6:$Z$150,COLUMN('Species Library'!J52),FALSE)), "",VLOOKUP($A56,'Species Library'!$A$6:$Z$150,COLUMN('Species Library'!J52),FALSE))</f>
        <v/>
      </c>
      <c r="L56" s="30" t="str">
        <f>IF(ISNA(VLOOKUP($A56,'Species Library'!$A$6:$Z$150,COLUMN('Species Library'!K52),FALSE)), "",VLOOKUP($A56,'Species Library'!$A$6:$Z$150,COLUMN('Species Library'!K52),FALSE))</f>
        <v/>
      </c>
      <c r="M56" s="30" t="str">
        <f t="shared" si="1"/>
        <v/>
      </c>
      <c r="N56" s="30" t="str">
        <f>IF(ISNA(VLOOKUP($A56,'Species Library'!$A$6:$Z$150,COLUMN('Species Library'!L52),FALSE)), "",VLOOKUP($A56,'Species Library'!$A$6:$Z$150,COLUMN('Species Library'!L52),FALSE))</f>
        <v/>
      </c>
      <c r="O56" s="30" t="str">
        <f>IF(ISNA(VLOOKUP($A56,'Species Library'!$A$6:$Z$150,COLUMN('Species Library'!M52),FALSE)), "",VLOOKUP($A56,'Species Library'!$A$6:$Z$150,COLUMN('Species Library'!M52),FALSE))</f>
        <v/>
      </c>
      <c r="P56" s="30" t="str">
        <f>IF(ISNA(VLOOKUP($A56,'Species Library'!$A$6:$Z$150,COLUMN('Species Library'!N52),FALSE)), "",VLOOKUP($A56,'Species Library'!$A$6:$Z$150,COLUMN('Species Library'!N52),FALSE))</f>
        <v/>
      </c>
      <c r="Q56" s="30" t="str">
        <f t="shared" si="2"/>
        <v/>
      </c>
      <c r="R56" s="30" t="str">
        <f>IF(ISNA(VLOOKUP($A56,'Species Library'!$A$6:$Z$150,COLUMN('Species Library'!O52),FALSE)), "",VLOOKUP($A56,'Species Library'!$A$6:$Z$150,COLUMN('Species Library'!O52),FALSE))</f>
        <v/>
      </c>
      <c r="S56" s="30" t="str">
        <f>IF(ISNA(VLOOKUP($A56,'Species Library'!$A$6:$Z$150,COLUMN('Species Library'!P52),FALSE)), "",VLOOKUP($A56,'Species Library'!$A$6:$Z$150,COLUMN('Species Library'!P52),FALSE))</f>
        <v/>
      </c>
      <c r="T56" s="30" t="str">
        <f>IF(ISNA(VLOOKUP($A56,'Species Library'!$A$6:$Z$150,COLUMN('Species Library'!Q52),FALSE)), "",VLOOKUP($A56,'Species Library'!$A$6:$Z$150,COLUMN('Species Library'!Q52),FALSE))</f>
        <v/>
      </c>
      <c r="U56" s="30" t="str">
        <f>IF(ISNA(VLOOKUP($A56,'Species Library'!$A$6:$Z$150,COLUMN('Species Library'!R52),FALSE)), "",VLOOKUP($A56,'Species Library'!$A$6:$Z$150,COLUMN('Species Library'!R52),FALSE))</f>
        <v/>
      </c>
      <c r="V56" s="30" t="str">
        <f>IF(ISNA(VLOOKUP($A56,'Species Library'!$A$6:$Z$150,COLUMN('Species Library'!S52),FALSE)), "",VLOOKUP($A56,'Species Library'!$A$6:$Z$150,COLUMN('Species Library'!S52),FALSE))</f>
        <v/>
      </c>
      <c r="W56" s="30" t="str">
        <f>IF(ISNA(VLOOKUP($A56,'Species Library'!$A$6:$Z$150,COLUMN('Species Library'!T52),FALSE)), "",VLOOKUP($A56,'Species Library'!$A$6:$Z$150,COLUMN('Species Library'!T52),FALSE))</f>
        <v/>
      </c>
      <c r="X56" s="30" t="str">
        <f t="shared" si="3"/>
        <v/>
      </c>
      <c r="Y56" s="30" t="str">
        <f>IF(ISNA(VLOOKUP($A56,'Species Library'!$A$6:$Z$150,COLUMN('Species Library'!U52),FALSE)), "",VLOOKUP($A56,'Species Library'!$A$6:$Z$150,COLUMN('Species Library'!U52),FALSE))</f>
        <v/>
      </c>
      <c r="Z56" s="30" t="str">
        <f>IF(ISNA(VLOOKUP($A56,'Species Library'!$A$6:$Z$150,COLUMN('Species Library'!V52),FALSE)), "",VLOOKUP($A56,'Species Library'!$A$6:$Z$150,COLUMN('Species Library'!V52),FALSE))</f>
        <v/>
      </c>
      <c r="AA56" s="30" t="str">
        <f>IF(ISNA(VLOOKUP($A56,'Species Library'!$A$6:$Z$150,COLUMN('Species Library'!W52),FALSE)), "",VLOOKUP($A56,'Species Library'!$A$6:$Z$150,COLUMN('Species Library'!W52),FALSE))</f>
        <v/>
      </c>
      <c r="AB56" s="30" t="str">
        <f>IF(ISNA(VLOOKUP($A56,'Species Library'!$A$6:$Z$150,COLUMN('Species Library'!X52),FALSE)), "",VLOOKUP($A56,'Species Library'!$A$6:$Z$150,COLUMN('Species Library'!X52),FALSE))</f>
        <v/>
      </c>
      <c r="AC56" s="30" t="str">
        <f>IF(ISNA(VLOOKUP($A56,'Species Library'!$A$6:$Z$150,COLUMN('Species Library'!Y52),FALSE)), "",VLOOKUP($A56,'Species Library'!$A$6:$Z$150,COLUMN('Species Library'!Y52),FALSE))</f>
        <v/>
      </c>
      <c r="AD56" s="30" t="str">
        <f>IF(ISNA(VLOOKUP($A56,'Species Library'!$A$6:$Z$150,COLUMN('Species Library'!Z52),FALSE)), "",VLOOKUP($A56,'Species Library'!$A$6:$Z$150,COLUMN('Species Library'!Z52),FALSE))</f>
        <v/>
      </c>
    </row>
    <row r="57" spans="2:30" x14ac:dyDescent="0.4">
      <c r="B57" s="30" t="str">
        <f>IF(ISNA(VLOOKUP($A57,'Species Library'!$A$6:$Z$150,COLUMN('Species Library'!B53),FALSE)), "",VLOOKUP($A57,'Species Library'!$A$6:$Z$150,COLUMN('Species Library'!B53),FALSE))</f>
        <v/>
      </c>
      <c r="C57" s="30" t="str">
        <f>IF(ISNA(VLOOKUP($A57,'Species Library'!$A$6:$Z$150,COLUMN('Species Library'!C53),FALSE)), "",VLOOKUP($A57,'Species Library'!$A$6:$Z$150,COLUMN('Species Library'!C53),FALSE))</f>
        <v/>
      </c>
      <c r="D57" s="30" t="str">
        <f>IF(ISNA(VLOOKUP($A57,'Species Library'!$A$6:$Z$150,COLUMN('Species Library'!D53),FALSE)), "",VLOOKUP($A57,'Species Library'!$A$6:$Z$150,COLUMN('Species Library'!D53),FALSE))</f>
        <v/>
      </c>
      <c r="E57" s="30" t="str">
        <f>IF(ISNA(VLOOKUP($A57,'Species Library'!$A$6:$Z$150,COLUMN('Species Library'!E53),FALSE)), "",VLOOKUP($A57,'Species Library'!$A$6:$Z$150,COLUMN('Species Library'!E53),FALSE))</f>
        <v/>
      </c>
      <c r="F57" s="30" t="str">
        <f>IF(ISNA(VLOOKUP($A57,'Species Library'!$A$6:$Z$150,COLUMN('Species Library'!F53),FALSE)), "",VLOOKUP($A57,'Species Library'!$A$6:$Z$150,COLUMN('Species Library'!F53),FALSE))</f>
        <v/>
      </c>
      <c r="G57" s="30" t="str">
        <f t="shared" si="0"/>
        <v/>
      </c>
      <c r="H57" s="30" t="str">
        <f>IF(ISNA(VLOOKUP($A57,'Species Library'!$A$6:$Z$150,COLUMN('Species Library'!G53),FALSE)), "",VLOOKUP($A57,'Species Library'!$A$6:$Z$150,COLUMN('Species Library'!G53),FALSE))</f>
        <v/>
      </c>
      <c r="I57" s="30" t="str">
        <f>IF(ISNA(VLOOKUP($A57,'Species Library'!$A$6:$Z$150,COLUMN('Species Library'!H53),FALSE)), "",VLOOKUP($A57,'Species Library'!$A$6:$Z$150,COLUMN('Species Library'!H53),FALSE))</f>
        <v/>
      </c>
      <c r="J57" s="30" t="str">
        <f>IF(ISNA(VLOOKUP($A57,'Species Library'!$A$6:$Z$150,COLUMN('Species Library'!I53),FALSE)), "",VLOOKUP($A57,'Species Library'!$A$6:$Z$150,COLUMN('Species Library'!I53),FALSE))</f>
        <v/>
      </c>
      <c r="K57" s="30" t="str">
        <f>IF(ISNA(VLOOKUP($A57,'Species Library'!$A$6:$Z$150,COLUMN('Species Library'!J53),FALSE)), "",VLOOKUP($A57,'Species Library'!$A$6:$Z$150,COLUMN('Species Library'!J53),FALSE))</f>
        <v/>
      </c>
      <c r="L57" s="30" t="str">
        <f>IF(ISNA(VLOOKUP($A57,'Species Library'!$A$6:$Z$150,COLUMN('Species Library'!K53),FALSE)), "",VLOOKUP($A57,'Species Library'!$A$6:$Z$150,COLUMN('Species Library'!K53),FALSE))</f>
        <v/>
      </c>
      <c r="M57" s="30" t="str">
        <f t="shared" si="1"/>
        <v/>
      </c>
      <c r="N57" s="30" t="str">
        <f>IF(ISNA(VLOOKUP($A57,'Species Library'!$A$6:$Z$150,COLUMN('Species Library'!L53),FALSE)), "",VLOOKUP($A57,'Species Library'!$A$6:$Z$150,COLUMN('Species Library'!L53),FALSE))</f>
        <v/>
      </c>
      <c r="O57" s="30" t="str">
        <f>IF(ISNA(VLOOKUP($A57,'Species Library'!$A$6:$Z$150,COLUMN('Species Library'!M53),FALSE)), "",VLOOKUP($A57,'Species Library'!$A$6:$Z$150,COLUMN('Species Library'!M53),FALSE))</f>
        <v/>
      </c>
      <c r="P57" s="30" t="str">
        <f>IF(ISNA(VLOOKUP($A57,'Species Library'!$A$6:$Z$150,COLUMN('Species Library'!N53),FALSE)), "",VLOOKUP($A57,'Species Library'!$A$6:$Z$150,COLUMN('Species Library'!N53),FALSE))</f>
        <v/>
      </c>
      <c r="Q57" s="30" t="str">
        <f t="shared" si="2"/>
        <v/>
      </c>
      <c r="R57" s="30" t="str">
        <f>IF(ISNA(VLOOKUP($A57,'Species Library'!$A$6:$Z$150,COLUMN('Species Library'!O53),FALSE)), "",VLOOKUP($A57,'Species Library'!$A$6:$Z$150,COLUMN('Species Library'!O53),FALSE))</f>
        <v/>
      </c>
      <c r="S57" s="30" t="str">
        <f>IF(ISNA(VLOOKUP($A57,'Species Library'!$A$6:$Z$150,COLUMN('Species Library'!P53),FALSE)), "",VLOOKUP($A57,'Species Library'!$A$6:$Z$150,COLUMN('Species Library'!P53),FALSE))</f>
        <v/>
      </c>
      <c r="T57" s="30" t="str">
        <f>IF(ISNA(VLOOKUP($A57,'Species Library'!$A$6:$Z$150,COLUMN('Species Library'!Q53),FALSE)), "",VLOOKUP($A57,'Species Library'!$A$6:$Z$150,COLUMN('Species Library'!Q53),FALSE))</f>
        <v/>
      </c>
      <c r="U57" s="30" t="str">
        <f>IF(ISNA(VLOOKUP($A57,'Species Library'!$A$6:$Z$150,COLUMN('Species Library'!R53),FALSE)), "",VLOOKUP($A57,'Species Library'!$A$6:$Z$150,COLUMN('Species Library'!R53),FALSE))</f>
        <v/>
      </c>
      <c r="V57" s="30" t="str">
        <f>IF(ISNA(VLOOKUP($A57,'Species Library'!$A$6:$Z$150,COLUMN('Species Library'!S53),FALSE)), "",VLOOKUP($A57,'Species Library'!$A$6:$Z$150,COLUMN('Species Library'!S53),FALSE))</f>
        <v/>
      </c>
      <c r="W57" s="30" t="str">
        <f>IF(ISNA(VLOOKUP($A57,'Species Library'!$A$6:$Z$150,COLUMN('Species Library'!T53),FALSE)), "",VLOOKUP($A57,'Species Library'!$A$6:$Z$150,COLUMN('Species Library'!T53),FALSE))</f>
        <v/>
      </c>
      <c r="X57" s="30" t="str">
        <f t="shared" si="3"/>
        <v/>
      </c>
      <c r="Y57" s="30" t="str">
        <f>IF(ISNA(VLOOKUP($A57,'Species Library'!$A$6:$Z$150,COLUMN('Species Library'!U53),FALSE)), "",VLOOKUP($A57,'Species Library'!$A$6:$Z$150,COLUMN('Species Library'!U53),FALSE))</f>
        <v/>
      </c>
      <c r="Z57" s="30" t="str">
        <f>IF(ISNA(VLOOKUP($A57,'Species Library'!$A$6:$Z$150,COLUMN('Species Library'!V53),FALSE)), "",VLOOKUP($A57,'Species Library'!$A$6:$Z$150,COLUMN('Species Library'!V53),FALSE))</f>
        <v/>
      </c>
      <c r="AA57" s="30" t="str">
        <f>IF(ISNA(VLOOKUP($A57,'Species Library'!$A$6:$Z$150,COLUMN('Species Library'!W53),FALSE)), "",VLOOKUP($A57,'Species Library'!$A$6:$Z$150,COLUMN('Species Library'!W53),FALSE))</f>
        <v/>
      </c>
      <c r="AB57" s="30" t="str">
        <f>IF(ISNA(VLOOKUP($A57,'Species Library'!$A$6:$Z$150,COLUMN('Species Library'!X53),FALSE)), "",VLOOKUP($A57,'Species Library'!$A$6:$Z$150,COLUMN('Species Library'!X53),FALSE))</f>
        <v/>
      </c>
      <c r="AC57" s="30" t="str">
        <f>IF(ISNA(VLOOKUP($A57,'Species Library'!$A$6:$Z$150,COLUMN('Species Library'!Y53),FALSE)), "",VLOOKUP($A57,'Species Library'!$A$6:$Z$150,COLUMN('Species Library'!Y53),FALSE))</f>
        <v/>
      </c>
      <c r="AD57" s="30" t="str">
        <f>IF(ISNA(VLOOKUP($A57,'Species Library'!$A$6:$Z$150,COLUMN('Species Library'!Z53),FALSE)), "",VLOOKUP($A57,'Species Library'!$A$6:$Z$150,COLUMN('Species Library'!Z53),FALSE))</f>
        <v/>
      </c>
    </row>
    <row r="58" spans="2:30" x14ac:dyDescent="0.4">
      <c r="B58" s="30" t="str">
        <f>IF(ISNA(VLOOKUP($A58,'Species Library'!$A$6:$Z$150,COLUMN('Species Library'!B54),FALSE)), "",VLOOKUP($A58,'Species Library'!$A$6:$Z$150,COLUMN('Species Library'!B54),FALSE))</f>
        <v/>
      </c>
      <c r="C58" s="30" t="str">
        <f>IF(ISNA(VLOOKUP($A58,'Species Library'!$A$6:$Z$150,COLUMN('Species Library'!C54),FALSE)), "",VLOOKUP($A58,'Species Library'!$A$6:$Z$150,COLUMN('Species Library'!C54),FALSE))</f>
        <v/>
      </c>
      <c r="D58" s="30" t="str">
        <f>IF(ISNA(VLOOKUP($A58,'Species Library'!$A$6:$Z$150,COLUMN('Species Library'!D54),FALSE)), "",VLOOKUP($A58,'Species Library'!$A$6:$Z$150,COLUMN('Species Library'!D54),FALSE))</f>
        <v/>
      </c>
      <c r="E58" s="30" t="str">
        <f>IF(ISNA(VLOOKUP($A58,'Species Library'!$A$6:$Z$150,COLUMN('Species Library'!E54),FALSE)), "",VLOOKUP($A58,'Species Library'!$A$6:$Z$150,COLUMN('Species Library'!E54),FALSE))</f>
        <v/>
      </c>
      <c r="F58" s="30" t="str">
        <f>IF(ISNA(VLOOKUP($A58,'Species Library'!$A$6:$Z$150,COLUMN('Species Library'!F54),FALSE)), "",VLOOKUP($A58,'Species Library'!$A$6:$Z$150,COLUMN('Species Library'!F54),FALSE))</f>
        <v/>
      </c>
      <c r="G58" s="30" t="str">
        <f t="shared" si="0"/>
        <v/>
      </c>
      <c r="H58" s="30" t="str">
        <f>IF(ISNA(VLOOKUP($A58,'Species Library'!$A$6:$Z$150,COLUMN('Species Library'!G54),FALSE)), "",VLOOKUP($A58,'Species Library'!$A$6:$Z$150,COLUMN('Species Library'!G54),FALSE))</f>
        <v/>
      </c>
      <c r="I58" s="30" t="str">
        <f>IF(ISNA(VLOOKUP($A58,'Species Library'!$A$6:$Z$150,COLUMN('Species Library'!H54),FALSE)), "",VLOOKUP($A58,'Species Library'!$A$6:$Z$150,COLUMN('Species Library'!H54),FALSE))</f>
        <v/>
      </c>
      <c r="J58" s="30" t="str">
        <f>IF(ISNA(VLOOKUP($A58,'Species Library'!$A$6:$Z$150,COLUMN('Species Library'!I54),FALSE)), "",VLOOKUP($A58,'Species Library'!$A$6:$Z$150,COLUMN('Species Library'!I54),FALSE))</f>
        <v/>
      </c>
      <c r="K58" s="30" t="str">
        <f>IF(ISNA(VLOOKUP($A58,'Species Library'!$A$6:$Z$150,COLUMN('Species Library'!J54),FALSE)), "",VLOOKUP($A58,'Species Library'!$A$6:$Z$150,COLUMN('Species Library'!J54),FALSE))</f>
        <v/>
      </c>
      <c r="L58" s="30" t="str">
        <f>IF(ISNA(VLOOKUP($A58,'Species Library'!$A$6:$Z$150,COLUMN('Species Library'!K54),FALSE)), "",VLOOKUP($A58,'Species Library'!$A$6:$Z$150,COLUMN('Species Library'!K54),FALSE))</f>
        <v/>
      </c>
      <c r="M58" s="30" t="str">
        <f t="shared" si="1"/>
        <v/>
      </c>
      <c r="N58" s="30" t="str">
        <f>IF(ISNA(VLOOKUP($A58,'Species Library'!$A$6:$Z$150,COLUMN('Species Library'!L54),FALSE)), "",VLOOKUP($A58,'Species Library'!$A$6:$Z$150,COLUMN('Species Library'!L54),FALSE))</f>
        <v/>
      </c>
      <c r="O58" s="30" t="str">
        <f>IF(ISNA(VLOOKUP($A58,'Species Library'!$A$6:$Z$150,COLUMN('Species Library'!M54),FALSE)), "",VLOOKUP($A58,'Species Library'!$A$6:$Z$150,COLUMN('Species Library'!M54),FALSE))</f>
        <v/>
      </c>
      <c r="P58" s="30" t="str">
        <f>IF(ISNA(VLOOKUP($A58,'Species Library'!$A$6:$Z$150,COLUMN('Species Library'!N54),FALSE)), "",VLOOKUP($A58,'Species Library'!$A$6:$Z$150,COLUMN('Species Library'!N54),FALSE))</f>
        <v/>
      </c>
      <c r="Q58" s="30" t="str">
        <f t="shared" si="2"/>
        <v/>
      </c>
      <c r="R58" s="30" t="str">
        <f>IF(ISNA(VLOOKUP($A58,'Species Library'!$A$6:$Z$150,COLUMN('Species Library'!O54),FALSE)), "",VLOOKUP($A58,'Species Library'!$A$6:$Z$150,COLUMN('Species Library'!O54),FALSE))</f>
        <v/>
      </c>
      <c r="S58" s="30" t="str">
        <f>IF(ISNA(VLOOKUP($A58,'Species Library'!$A$6:$Z$150,COLUMN('Species Library'!P54),FALSE)), "",VLOOKUP($A58,'Species Library'!$A$6:$Z$150,COLUMN('Species Library'!P54),FALSE))</f>
        <v/>
      </c>
      <c r="T58" s="30" t="str">
        <f>IF(ISNA(VLOOKUP($A58,'Species Library'!$A$6:$Z$150,COLUMN('Species Library'!Q54),FALSE)), "",VLOOKUP($A58,'Species Library'!$A$6:$Z$150,COLUMN('Species Library'!Q54),FALSE))</f>
        <v/>
      </c>
      <c r="U58" s="30" t="str">
        <f>IF(ISNA(VLOOKUP($A58,'Species Library'!$A$6:$Z$150,COLUMN('Species Library'!R54),FALSE)), "",VLOOKUP($A58,'Species Library'!$A$6:$Z$150,COLUMN('Species Library'!R54),FALSE))</f>
        <v/>
      </c>
      <c r="V58" s="30" t="str">
        <f>IF(ISNA(VLOOKUP($A58,'Species Library'!$A$6:$Z$150,COLUMN('Species Library'!S54),FALSE)), "",VLOOKUP($A58,'Species Library'!$A$6:$Z$150,COLUMN('Species Library'!S54),FALSE))</f>
        <v/>
      </c>
      <c r="W58" s="30" t="str">
        <f>IF(ISNA(VLOOKUP($A58,'Species Library'!$A$6:$Z$150,COLUMN('Species Library'!T54),FALSE)), "",VLOOKUP($A58,'Species Library'!$A$6:$Z$150,COLUMN('Species Library'!T54),FALSE))</f>
        <v/>
      </c>
      <c r="X58" s="30" t="str">
        <f t="shared" si="3"/>
        <v/>
      </c>
      <c r="Y58" s="30" t="str">
        <f>IF(ISNA(VLOOKUP($A58,'Species Library'!$A$6:$Z$150,COLUMN('Species Library'!U54),FALSE)), "",VLOOKUP($A58,'Species Library'!$A$6:$Z$150,COLUMN('Species Library'!U54),FALSE))</f>
        <v/>
      </c>
      <c r="Z58" s="30" t="str">
        <f>IF(ISNA(VLOOKUP($A58,'Species Library'!$A$6:$Z$150,COLUMN('Species Library'!V54),FALSE)), "",VLOOKUP($A58,'Species Library'!$A$6:$Z$150,COLUMN('Species Library'!V54),FALSE))</f>
        <v/>
      </c>
      <c r="AA58" s="30" t="str">
        <f>IF(ISNA(VLOOKUP($A58,'Species Library'!$A$6:$Z$150,COLUMN('Species Library'!W54),FALSE)), "",VLOOKUP($A58,'Species Library'!$A$6:$Z$150,COLUMN('Species Library'!W54),FALSE))</f>
        <v/>
      </c>
      <c r="AB58" s="30" t="str">
        <f>IF(ISNA(VLOOKUP($A58,'Species Library'!$A$6:$Z$150,COLUMN('Species Library'!X54),FALSE)), "",VLOOKUP($A58,'Species Library'!$A$6:$Z$150,COLUMN('Species Library'!X54),FALSE))</f>
        <v/>
      </c>
      <c r="AC58" s="30" t="str">
        <f>IF(ISNA(VLOOKUP($A58,'Species Library'!$A$6:$Z$150,COLUMN('Species Library'!Y54),FALSE)), "",VLOOKUP($A58,'Species Library'!$A$6:$Z$150,COLUMN('Species Library'!Y54),FALSE))</f>
        <v/>
      </c>
      <c r="AD58" s="30" t="str">
        <f>IF(ISNA(VLOOKUP($A58,'Species Library'!$A$6:$Z$150,COLUMN('Species Library'!Z54),FALSE)), "",VLOOKUP($A58,'Species Library'!$A$6:$Z$150,COLUMN('Species Library'!Z54),FALSE))</f>
        <v/>
      </c>
    </row>
    <row r="59" spans="2:30" x14ac:dyDescent="0.4">
      <c r="B59" s="30" t="str">
        <f>IF(ISNA(VLOOKUP($A59,'Species Library'!$A$6:$Z$150,COLUMN('Species Library'!B55),FALSE)), "",VLOOKUP($A59,'Species Library'!$A$6:$Z$150,COLUMN('Species Library'!B55),FALSE))</f>
        <v/>
      </c>
      <c r="C59" s="30" t="str">
        <f>IF(ISNA(VLOOKUP($A59,'Species Library'!$A$6:$Z$150,COLUMN('Species Library'!C55),FALSE)), "",VLOOKUP($A59,'Species Library'!$A$6:$Z$150,COLUMN('Species Library'!C55),FALSE))</f>
        <v/>
      </c>
      <c r="D59" s="30" t="str">
        <f>IF(ISNA(VLOOKUP($A59,'Species Library'!$A$6:$Z$150,COLUMN('Species Library'!D55),FALSE)), "",VLOOKUP($A59,'Species Library'!$A$6:$Z$150,COLUMN('Species Library'!D55),FALSE))</f>
        <v/>
      </c>
      <c r="E59" s="30" t="str">
        <f>IF(ISNA(VLOOKUP($A59,'Species Library'!$A$6:$Z$150,COLUMN('Species Library'!E55),FALSE)), "",VLOOKUP($A59,'Species Library'!$A$6:$Z$150,COLUMN('Species Library'!E55),FALSE))</f>
        <v/>
      </c>
      <c r="F59" s="30" t="str">
        <f>IF(ISNA(VLOOKUP($A59,'Species Library'!$A$6:$Z$150,COLUMN('Species Library'!F55),FALSE)), "",VLOOKUP($A59,'Species Library'!$A$6:$Z$150,COLUMN('Species Library'!F55),FALSE))</f>
        <v/>
      </c>
      <c r="G59" s="30" t="str">
        <f t="shared" si="0"/>
        <v/>
      </c>
      <c r="H59" s="30" t="str">
        <f>IF(ISNA(VLOOKUP($A59,'Species Library'!$A$6:$Z$150,COLUMN('Species Library'!G55),FALSE)), "",VLOOKUP($A59,'Species Library'!$A$6:$Z$150,COLUMN('Species Library'!G55),FALSE))</f>
        <v/>
      </c>
      <c r="I59" s="30" t="str">
        <f>IF(ISNA(VLOOKUP($A59,'Species Library'!$A$6:$Z$150,COLUMN('Species Library'!H55),FALSE)), "",VLOOKUP($A59,'Species Library'!$A$6:$Z$150,COLUMN('Species Library'!H55),FALSE))</f>
        <v/>
      </c>
      <c r="J59" s="30" t="str">
        <f>IF(ISNA(VLOOKUP($A59,'Species Library'!$A$6:$Z$150,COLUMN('Species Library'!I55),FALSE)), "",VLOOKUP($A59,'Species Library'!$A$6:$Z$150,COLUMN('Species Library'!I55),FALSE))</f>
        <v/>
      </c>
      <c r="K59" s="30" t="str">
        <f>IF(ISNA(VLOOKUP($A59,'Species Library'!$A$6:$Z$150,COLUMN('Species Library'!J55),FALSE)), "",VLOOKUP($A59,'Species Library'!$A$6:$Z$150,COLUMN('Species Library'!J55),FALSE))</f>
        <v/>
      </c>
      <c r="L59" s="30" t="str">
        <f>IF(ISNA(VLOOKUP($A59,'Species Library'!$A$6:$Z$150,COLUMN('Species Library'!K55),FALSE)), "",VLOOKUP($A59,'Species Library'!$A$6:$Z$150,COLUMN('Species Library'!K55),FALSE))</f>
        <v/>
      </c>
      <c r="M59" s="30" t="str">
        <f t="shared" si="1"/>
        <v/>
      </c>
      <c r="N59" s="30" t="str">
        <f>IF(ISNA(VLOOKUP($A59,'Species Library'!$A$6:$Z$150,COLUMN('Species Library'!L55),FALSE)), "",VLOOKUP($A59,'Species Library'!$A$6:$Z$150,COLUMN('Species Library'!L55),FALSE))</f>
        <v/>
      </c>
      <c r="O59" s="30" t="str">
        <f>IF(ISNA(VLOOKUP($A59,'Species Library'!$A$6:$Z$150,COLUMN('Species Library'!M55),FALSE)), "",VLOOKUP($A59,'Species Library'!$A$6:$Z$150,COLUMN('Species Library'!M55),FALSE))</f>
        <v/>
      </c>
      <c r="P59" s="30" t="str">
        <f>IF(ISNA(VLOOKUP($A59,'Species Library'!$A$6:$Z$150,COLUMN('Species Library'!N55),FALSE)), "",VLOOKUP($A59,'Species Library'!$A$6:$Z$150,COLUMN('Species Library'!N55),FALSE))</f>
        <v/>
      </c>
      <c r="Q59" s="30" t="str">
        <f t="shared" si="2"/>
        <v/>
      </c>
      <c r="R59" s="30" t="str">
        <f>IF(ISNA(VLOOKUP($A59,'Species Library'!$A$6:$Z$150,COLUMN('Species Library'!O55),FALSE)), "",VLOOKUP($A59,'Species Library'!$A$6:$Z$150,COLUMN('Species Library'!O55),FALSE))</f>
        <v/>
      </c>
      <c r="S59" s="30" t="str">
        <f>IF(ISNA(VLOOKUP($A59,'Species Library'!$A$6:$Z$150,COLUMN('Species Library'!P55),FALSE)), "",VLOOKUP($A59,'Species Library'!$A$6:$Z$150,COLUMN('Species Library'!P55),FALSE))</f>
        <v/>
      </c>
      <c r="T59" s="30" t="str">
        <f>IF(ISNA(VLOOKUP($A59,'Species Library'!$A$6:$Z$150,COLUMN('Species Library'!Q55),FALSE)), "",VLOOKUP($A59,'Species Library'!$A$6:$Z$150,COLUMN('Species Library'!Q55),FALSE))</f>
        <v/>
      </c>
      <c r="U59" s="30" t="str">
        <f>IF(ISNA(VLOOKUP($A59,'Species Library'!$A$6:$Z$150,COLUMN('Species Library'!R55),FALSE)), "",VLOOKUP($A59,'Species Library'!$A$6:$Z$150,COLUMN('Species Library'!R55),FALSE))</f>
        <v/>
      </c>
      <c r="V59" s="30" t="str">
        <f>IF(ISNA(VLOOKUP($A59,'Species Library'!$A$6:$Z$150,COLUMN('Species Library'!S55),FALSE)), "",VLOOKUP($A59,'Species Library'!$A$6:$Z$150,COLUMN('Species Library'!S55),FALSE))</f>
        <v/>
      </c>
      <c r="W59" s="30" t="str">
        <f>IF(ISNA(VLOOKUP($A59,'Species Library'!$A$6:$Z$150,COLUMN('Species Library'!T55),FALSE)), "",VLOOKUP($A59,'Species Library'!$A$6:$Z$150,COLUMN('Species Library'!T55),FALSE))</f>
        <v/>
      </c>
      <c r="X59" s="30" t="str">
        <f t="shared" si="3"/>
        <v/>
      </c>
      <c r="Y59" s="30" t="str">
        <f>IF(ISNA(VLOOKUP($A59,'Species Library'!$A$6:$Z$150,COLUMN('Species Library'!U55),FALSE)), "",VLOOKUP($A59,'Species Library'!$A$6:$Z$150,COLUMN('Species Library'!U55),FALSE))</f>
        <v/>
      </c>
      <c r="Z59" s="30" t="str">
        <f>IF(ISNA(VLOOKUP($A59,'Species Library'!$A$6:$Z$150,COLUMN('Species Library'!V55),FALSE)), "",VLOOKUP($A59,'Species Library'!$A$6:$Z$150,COLUMN('Species Library'!V55),FALSE))</f>
        <v/>
      </c>
      <c r="AA59" s="30" t="str">
        <f>IF(ISNA(VLOOKUP($A59,'Species Library'!$A$6:$Z$150,COLUMN('Species Library'!W55),FALSE)), "",VLOOKUP($A59,'Species Library'!$A$6:$Z$150,COLUMN('Species Library'!W55),FALSE))</f>
        <v/>
      </c>
      <c r="AB59" s="30" t="str">
        <f>IF(ISNA(VLOOKUP($A59,'Species Library'!$A$6:$Z$150,COLUMN('Species Library'!X55),FALSE)), "",VLOOKUP($A59,'Species Library'!$A$6:$Z$150,COLUMN('Species Library'!X55),FALSE))</f>
        <v/>
      </c>
      <c r="AC59" s="30" t="str">
        <f>IF(ISNA(VLOOKUP($A59,'Species Library'!$A$6:$Z$150,COLUMN('Species Library'!Y55),FALSE)), "",VLOOKUP($A59,'Species Library'!$A$6:$Z$150,COLUMN('Species Library'!Y55),FALSE))</f>
        <v/>
      </c>
      <c r="AD59" s="30" t="str">
        <f>IF(ISNA(VLOOKUP($A59,'Species Library'!$A$6:$Z$150,COLUMN('Species Library'!Z55),FALSE)), "",VLOOKUP($A59,'Species Library'!$A$6:$Z$150,COLUMN('Species Library'!Z55),FALSE))</f>
        <v/>
      </c>
    </row>
    <row r="60" spans="2:30" x14ac:dyDescent="0.4">
      <c r="B60" s="30" t="str">
        <f>IF(ISNA(VLOOKUP($A60,'Species Library'!$A$6:$Z$150,COLUMN('Species Library'!B56),FALSE)), "",VLOOKUP($A60,'Species Library'!$A$6:$Z$150,COLUMN('Species Library'!B56),FALSE))</f>
        <v/>
      </c>
      <c r="C60" s="30" t="str">
        <f>IF(ISNA(VLOOKUP($A60,'Species Library'!$A$6:$Z$150,COLUMN('Species Library'!C56),FALSE)), "",VLOOKUP($A60,'Species Library'!$A$6:$Z$150,COLUMN('Species Library'!C56),FALSE))</f>
        <v/>
      </c>
      <c r="D60" s="30" t="str">
        <f>IF(ISNA(VLOOKUP($A60,'Species Library'!$A$6:$Z$150,COLUMN('Species Library'!D56),FALSE)), "",VLOOKUP($A60,'Species Library'!$A$6:$Z$150,COLUMN('Species Library'!D56),FALSE))</f>
        <v/>
      </c>
      <c r="E60" s="30" t="str">
        <f>IF(ISNA(VLOOKUP($A60,'Species Library'!$A$6:$Z$150,COLUMN('Species Library'!E56),FALSE)), "",VLOOKUP($A60,'Species Library'!$A$6:$Z$150,COLUMN('Species Library'!E56),FALSE))</f>
        <v/>
      </c>
      <c r="F60" s="30" t="str">
        <f>IF(ISNA(VLOOKUP($A60,'Species Library'!$A$6:$Z$150,COLUMN('Species Library'!F56),FALSE)), "",VLOOKUP($A60,'Species Library'!$A$6:$Z$150,COLUMN('Species Library'!F56),FALSE))</f>
        <v/>
      </c>
      <c r="G60" s="30" t="str">
        <f t="shared" si="0"/>
        <v/>
      </c>
      <c r="H60" s="30" t="str">
        <f>IF(ISNA(VLOOKUP($A60,'Species Library'!$A$6:$Z$150,COLUMN('Species Library'!G56),FALSE)), "",VLOOKUP($A60,'Species Library'!$A$6:$Z$150,COLUMN('Species Library'!G56),FALSE))</f>
        <v/>
      </c>
      <c r="I60" s="30" t="str">
        <f>IF(ISNA(VLOOKUP($A60,'Species Library'!$A$6:$Z$150,COLUMN('Species Library'!H56),FALSE)), "",VLOOKUP($A60,'Species Library'!$A$6:$Z$150,COLUMN('Species Library'!H56),FALSE))</f>
        <v/>
      </c>
      <c r="J60" s="30" t="str">
        <f>IF(ISNA(VLOOKUP($A60,'Species Library'!$A$6:$Z$150,COLUMN('Species Library'!I56),FALSE)), "",VLOOKUP($A60,'Species Library'!$A$6:$Z$150,COLUMN('Species Library'!I56),FALSE))</f>
        <v/>
      </c>
      <c r="K60" s="30" t="str">
        <f>IF(ISNA(VLOOKUP($A60,'Species Library'!$A$6:$Z$150,COLUMN('Species Library'!J56),FALSE)), "",VLOOKUP($A60,'Species Library'!$A$6:$Z$150,COLUMN('Species Library'!J56),FALSE))</f>
        <v/>
      </c>
      <c r="L60" s="30" t="str">
        <f>IF(ISNA(VLOOKUP($A60,'Species Library'!$A$6:$Z$150,COLUMN('Species Library'!K56),FALSE)), "",VLOOKUP($A60,'Species Library'!$A$6:$Z$150,COLUMN('Species Library'!K56),FALSE))</f>
        <v/>
      </c>
      <c r="M60" s="30" t="str">
        <f t="shared" si="1"/>
        <v/>
      </c>
      <c r="N60" s="30" t="str">
        <f>IF(ISNA(VLOOKUP($A60,'Species Library'!$A$6:$Z$150,COLUMN('Species Library'!L56),FALSE)), "",VLOOKUP($A60,'Species Library'!$A$6:$Z$150,COLUMN('Species Library'!L56),FALSE))</f>
        <v/>
      </c>
      <c r="O60" s="30" t="str">
        <f>IF(ISNA(VLOOKUP($A60,'Species Library'!$A$6:$Z$150,COLUMN('Species Library'!M56),FALSE)), "",VLOOKUP($A60,'Species Library'!$A$6:$Z$150,COLUMN('Species Library'!M56),FALSE))</f>
        <v/>
      </c>
      <c r="P60" s="30" t="str">
        <f>IF(ISNA(VLOOKUP($A60,'Species Library'!$A$6:$Z$150,COLUMN('Species Library'!N56),FALSE)), "",VLOOKUP($A60,'Species Library'!$A$6:$Z$150,COLUMN('Species Library'!N56),FALSE))</f>
        <v/>
      </c>
      <c r="Q60" s="30" t="str">
        <f t="shared" si="2"/>
        <v/>
      </c>
      <c r="R60" s="30" t="str">
        <f>IF(ISNA(VLOOKUP($A60,'Species Library'!$A$6:$Z$150,COLUMN('Species Library'!O56),FALSE)), "",VLOOKUP($A60,'Species Library'!$A$6:$Z$150,COLUMN('Species Library'!O56),FALSE))</f>
        <v/>
      </c>
      <c r="S60" s="30" t="str">
        <f>IF(ISNA(VLOOKUP($A60,'Species Library'!$A$6:$Z$150,COLUMN('Species Library'!P56),FALSE)), "",VLOOKUP($A60,'Species Library'!$A$6:$Z$150,COLUMN('Species Library'!P56),FALSE))</f>
        <v/>
      </c>
      <c r="T60" s="30" t="str">
        <f>IF(ISNA(VLOOKUP($A60,'Species Library'!$A$6:$Z$150,COLUMN('Species Library'!Q56),FALSE)), "",VLOOKUP($A60,'Species Library'!$A$6:$Z$150,COLUMN('Species Library'!Q56),FALSE))</f>
        <v/>
      </c>
      <c r="U60" s="30" t="str">
        <f>IF(ISNA(VLOOKUP($A60,'Species Library'!$A$6:$Z$150,COLUMN('Species Library'!R56),FALSE)), "",VLOOKUP($A60,'Species Library'!$A$6:$Z$150,COLUMN('Species Library'!R56),FALSE))</f>
        <v/>
      </c>
      <c r="V60" s="30" t="str">
        <f>IF(ISNA(VLOOKUP($A60,'Species Library'!$A$6:$Z$150,COLUMN('Species Library'!S56),FALSE)), "",VLOOKUP($A60,'Species Library'!$A$6:$Z$150,COLUMN('Species Library'!S56),FALSE))</f>
        <v/>
      </c>
      <c r="W60" s="30" t="str">
        <f>IF(ISNA(VLOOKUP($A60,'Species Library'!$A$6:$Z$150,COLUMN('Species Library'!T56),FALSE)), "",VLOOKUP($A60,'Species Library'!$A$6:$Z$150,COLUMN('Species Library'!T56),FALSE))</f>
        <v/>
      </c>
      <c r="X60" s="30" t="str">
        <f t="shared" si="3"/>
        <v/>
      </c>
      <c r="Y60" s="30" t="str">
        <f>IF(ISNA(VLOOKUP($A60,'Species Library'!$A$6:$Z$150,COLUMN('Species Library'!U56),FALSE)), "",VLOOKUP($A60,'Species Library'!$A$6:$Z$150,COLUMN('Species Library'!U56),FALSE))</f>
        <v/>
      </c>
      <c r="Z60" s="30" t="str">
        <f>IF(ISNA(VLOOKUP($A60,'Species Library'!$A$6:$Z$150,COLUMN('Species Library'!V56),FALSE)), "",VLOOKUP($A60,'Species Library'!$A$6:$Z$150,COLUMN('Species Library'!V56),FALSE))</f>
        <v/>
      </c>
      <c r="AA60" s="30" t="str">
        <f>IF(ISNA(VLOOKUP($A60,'Species Library'!$A$6:$Z$150,COLUMN('Species Library'!W56),FALSE)), "",VLOOKUP($A60,'Species Library'!$A$6:$Z$150,COLUMN('Species Library'!W56),FALSE))</f>
        <v/>
      </c>
      <c r="AB60" s="30" t="str">
        <f>IF(ISNA(VLOOKUP($A60,'Species Library'!$A$6:$Z$150,COLUMN('Species Library'!X56),FALSE)), "",VLOOKUP($A60,'Species Library'!$A$6:$Z$150,COLUMN('Species Library'!X56),FALSE))</f>
        <v/>
      </c>
      <c r="AC60" s="30" t="str">
        <f>IF(ISNA(VLOOKUP($A60,'Species Library'!$A$6:$Z$150,COLUMN('Species Library'!Y56),FALSE)), "",VLOOKUP($A60,'Species Library'!$A$6:$Z$150,COLUMN('Species Library'!Y56),FALSE))</f>
        <v/>
      </c>
      <c r="AD60" s="30" t="str">
        <f>IF(ISNA(VLOOKUP($A60,'Species Library'!$A$6:$Z$150,COLUMN('Species Library'!Z56),FALSE)), "",VLOOKUP($A60,'Species Library'!$A$6:$Z$150,COLUMN('Species Library'!Z56),FALSE))</f>
        <v/>
      </c>
    </row>
    <row r="61" spans="2:30" x14ac:dyDescent="0.4">
      <c r="B61" s="30" t="str">
        <f>IF(ISNA(VLOOKUP($A61,'Species Library'!$A$6:$Z$150,COLUMN('Species Library'!B57),FALSE)), "",VLOOKUP($A61,'Species Library'!$A$6:$Z$150,COLUMN('Species Library'!B57),FALSE))</f>
        <v/>
      </c>
      <c r="C61" s="30" t="str">
        <f>IF(ISNA(VLOOKUP($A61,'Species Library'!$A$6:$Z$150,COLUMN('Species Library'!C57),FALSE)), "",VLOOKUP($A61,'Species Library'!$A$6:$Z$150,COLUMN('Species Library'!C57),FALSE))</f>
        <v/>
      </c>
      <c r="D61" s="30" t="str">
        <f>IF(ISNA(VLOOKUP($A61,'Species Library'!$A$6:$Z$150,COLUMN('Species Library'!D57),FALSE)), "",VLOOKUP($A61,'Species Library'!$A$6:$Z$150,COLUMN('Species Library'!D57),FALSE))</f>
        <v/>
      </c>
      <c r="E61" s="30" t="str">
        <f>IF(ISNA(VLOOKUP($A61,'Species Library'!$A$6:$Z$150,COLUMN('Species Library'!E57),FALSE)), "",VLOOKUP($A61,'Species Library'!$A$6:$Z$150,COLUMN('Species Library'!E57),FALSE))</f>
        <v/>
      </c>
      <c r="F61" s="30" t="str">
        <f>IF(ISNA(VLOOKUP($A61,'Species Library'!$A$6:$Z$150,COLUMN('Species Library'!F57),FALSE)), "",VLOOKUP($A61,'Species Library'!$A$6:$Z$150,COLUMN('Species Library'!F57),FALSE))</f>
        <v/>
      </c>
      <c r="G61" s="30" t="str">
        <f t="shared" si="0"/>
        <v/>
      </c>
      <c r="H61" s="30" t="str">
        <f>IF(ISNA(VLOOKUP($A61,'Species Library'!$A$6:$Z$150,COLUMN('Species Library'!G57),FALSE)), "",VLOOKUP($A61,'Species Library'!$A$6:$Z$150,COLUMN('Species Library'!G57),FALSE))</f>
        <v/>
      </c>
      <c r="I61" s="30" t="str">
        <f>IF(ISNA(VLOOKUP($A61,'Species Library'!$A$6:$Z$150,COLUMN('Species Library'!H57),FALSE)), "",VLOOKUP($A61,'Species Library'!$A$6:$Z$150,COLUMN('Species Library'!H57),FALSE))</f>
        <v/>
      </c>
      <c r="J61" s="30" t="str">
        <f>IF(ISNA(VLOOKUP($A61,'Species Library'!$A$6:$Z$150,COLUMN('Species Library'!I57),FALSE)), "",VLOOKUP($A61,'Species Library'!$A$6:$Z$150,COLUMN('Species Library'!I57),FALSE))</f>
        <v/>
      </c>
      <c r="K61" s="30" t="str">
        <f>IF(ISNA(VLOOKUP($A61,'Species Library'!$A$6:$Z$150,COLUMN('Species Library'!J57),FALSE)), "",VLOOKUP($A61,'Species Library'!$A$6:$Z$150,COLUMN('Species Library'!J57),FALSE))</f>
        <v/>
      </c>
      <c r="L61" s="30" t="str">
        <f>IF(ISNA(VLOOKUP($A61,'Species Library'!$A$6:$Z$150,COLUMN('Species Library'!K57),FALSE)), "",VLOOKUP($A61,'Species Library'!$A$6:$Z$150,COLUMN('Species Library'!K57),FALSE))</f>
        <v/>
      </c>
      <c r="M61" s="30" t="str">
        <f t="shared" si="1"/>
        <v/>
      </c>
      <c r="N61" s="30" t="str">
        <f>IF(ISNA(VLOOKUP($A61,'Species Library'!$A$6:$Z$150,COLUMN('Species Library'!L57),FALSE)), "",VLOOKUP($A61,'Species Library'!$A$6:$Z$150,COLUMN('Species Library'!L57),FALSE))</f>
        <v/>
      </c>
      <c r="O61" s="30" t="str">
        <f>IF(ISNA(VLOOKUP($A61,'Species Library'!$A$6:$Z$150,COLUMN('Species Library'!M57),FALSE)), "",VLOOKUP($A61,'Species Library'!$A$6:$Z$150,COLUMN('Species Library'!M57),FALSE))</f>
        <v/>
      </c>
      <c r="P61" s="30" t="str">
        <f>IF(ISNA(VLOOKUP($A61,'Species Library'!$A$6:$Z$150,COLUMN('Species Library'!N57),FALSE)), "",VLOOKUP($A61,'Species Library'!$A$6:$Z$150,COLUMN('Species Library'!N57),FALSE))</f>
        <v/>
      </c>
      <c r="Q61" s="30" t="str">
        <f t="shared" si="2"/>
        <v/>
      </c>
      <c r="R61" s="30" t="str">
        <f>IF(ISNA(VLOOKUP($A61,'Species Library'!$A$6:$Z$150,COLUMN('Species Library'!O57),FALSE)), "",VLOOKUP($A61,'Species Library'!$A$6:$Z$150,COLUMN('Species Library'!O57),FALSE))</f>
        <v/>
      </c>
      <c r="S61" s="30" t="str">
        <f>IF(ISNA(VLOOKUP($A61,'Species Library'!$A$6:$Z$150,COLUMN('Species Library'!P57),FALSE)), "",VLOOKUP($A61,'Species Library'!$A$6:$Z$150,COLUMN('Species Library'!P57),FALSE))</f>
        <v/>
      </c>
      <c r="T61" s="30" t="str">
        <f>IF(ISNA(VLOOKUP($A61,'Species Library'!$A$6:$Z$150,COLUMN('Species Library'!Q57),FALSE)), "",VLOOKUP($A61,'Species Library'!$A$6:$Z$150,COLUMN('Species Library'!Q57),FALSE))</f>
        <v/>
      </c>
      <c r="U61" s="30" t="str">
        <f>IF(ISNA(VLOOKUP($A61,'Species Library'!$A$6:$Z$150,COLUMN('Species Library'!R57),FALSE)), "",VLOOKUP($A61,'Species Library'!$A$6:$Z$150,COLUMN('Species Library'!R57),FALSE))</f>
        <v/>
      </c>
      <c r="V61" s="30" t="str">
        <f>IF(ISNA(VLOOKUP($A61,'Species Library'!$A$6:$Z$150,COLUMN('Species Library'!S57),FALSE)), "",VLOOKUP($A61,'Species Library'!$A$6:$Z$150,COLUMN('Species Library'!S57),FALSE))</f>
        <v/>
      </c>
      <c r="W61" s="30" t="str">
        <f>IF(ISNA(VLOOKUP($A61,'Species Library'!$A$6:$Z$150,COLUMN('Species Library'!T57),FALSE)), "",VLOOKUP($A61,'Species Library'!$A$6:$Z$150,COLUMN('Species Library'!T57),FALSE))</f>
        <v/>
      </c>
      <c r="X61" s="30" t="str">
        <f t="shared" si="3"/>
        <v/>
      </c>
      <c r="Y61" s="30" t="str">
        <f>IF(ISNA(VLOOKUP($A61,'Species Library'!$A$6:$Z$150,COLUMN('Species Library'!U57),FALSE)), "",VLOOKUP($A61,'Species Library'!$A$6:$Z$150,COLUMN('Species Library'!U57),FALSE))</f>
        <v/>
      </c>
      <c r="Z61" s="30" t="str">
        <f>IF(ISNA(VLOOKUP($A61,'Species Library'!$A$6:$Z$150,COLUMN('Species Library'!V57),FALSE)), "",VLOOKUP($A61,'Species Library'!$A$6:$Z$150,COLUMN('Species Library'!V57),FALSE))</f>
        <v/>
      </c>
      <c r="AA61" s="30" t="str">
        <f>IF(ISNA(VLOOKUP($A61,'Species Library'!$A$6:$Z$150,COLUMN('Species Library'!W57),FALSE)), "",VLOOKUP($A61,'Species Library'!$A$6:$Z$150,COLUMN('Species Library'!W57),FALSE))</f>
        <v/>
      </c>
      <c r="AB61" s="30" t="str">
        <f>IF(ISNA(VLOOKUP($A61,'Species Library'!$A$6:$Z$150,COLUMN('Species Library'!X57),FALSE)), "",VLOOKUP($A61,'Species Library'!$A$6:$Z$150,COLUMN('Species Library'!X57),FALSE))</f>
        <v/>
      </c>
      <c r="AC61" s="30" t="str">
        <f>IF(ISNA(VLOOKUP($A61,'Species Library'!$A$6:$Z$150,COLUMN('Species Library'!Y57),FALSE)), "",VLOOKUP($A61,'Species Library'!$A$6:$Z$150,COLUMN('Species Library'!Y57),FALSE))</f>
        <v/>
      </c>
      <c r="AD61" s="30" t="str">
        <f>IF(ISNA(VLOOKUP($A61,'Species Library'!$A$6:$Z$150,COLUMN('Species Library'!Z57),FALSE)), "",VLOOKUP($A61,'Species Library'!$A$6:$Z$150,COLUMN('Species Library'!Z57),FALSE))</f>
        <v/>
      </c>
    </row>
    <row r="62" spans="2:30" x14ac:dyDescent="0.4">
      <c r="B62" s="30" t="str">
        <f>IF(ISNA(VLOOKUP($A62,'Species Library'!$A$6:$Z$150,COLUMN('Species Library'!B58),FALSE)), "",VLOOKUP($A62,'Species Library'!$A$6:$Z$150,COLUMN('Species Library'!B58),FALSE))</f>
        <v/>
      </c>
      <c r="C62" s="30" t="str">
        <f>IF(ISNA(VLOOKUP($A62,'Species Library'!$A$6:$Z$150,COLUMN('Species Library'!C58),FALSE)), "",VLOOKUP($A62,'Species Library'!$A$6:$Z$150,COLUMN('Species Library'!C58),FALSE))</f>
        <v/>
      </c>
      <c r="D62" s="30" t="str">
        <f>IF(ISNA(VLOOKUP($A62,'Species Library'!$A$6:$Z$150,COLUMN('Species Library'!D58),FALSE)), "",VLOOKUP($A62,'Species Library'!$A$6:$Z$150,COLUMN('Species Library'!D58),FALSE))</f>
        <v/>
      </c>
      <c r="E62" s="30" t="str">
        <f>IF(ISNA(VLOOKUP($A62,'Species Library'!$A$6:$Z$150,COLUMN('Species Library'!E58),FALSE)), "",VLOOKUP($A62,'Species Library'!$A$6:$Z$150,COLUMN('Species Library'!E58),FALSE))</f>
        <v/>
      </c>
      <c r="F62" s="30" t="str">
        <f>IF(ISNA(VLOOKUP($A62,'Species Library'!$A$6:$Z$150,COLUMN('Species Library'!F58),FALSE)), "",VLOOKUP($A62,'Species Library'!$A$6:$Z$150,COLUMN('Species Library'!F58),FALSE))</f>
        <v/>
      </c>
      <c r="G62" s="30" t="str">
        <f t="shared" si="0"/>
        <v/>
      </c>
      <c r="H62" s="30" t="str">
        <f>IF(ISNA(VLOOKUP($A62,'Species Library'!$A$6:$Z$150,COLUMN('Species Library'!G58),FALSE)), "",VLOOKUP($A62,'Species Library'!$A$6:$Z$150,COLUMN('Species Library'!G58),FALSE))</f>
        <v/>
      </c>
      <c r="I62" s="30" t="str">
        <f>IF(ISNA(VLOOKUP($A62,'Species Library'!$A$6:$Z$150,COLUMN('Species Library'!H58),FALSE)), "",VLOOKUP($A62,'Species Library'!$A$6:$Z$150,COLUMN('Species Library'!H58),FALSE))</f>
        <v/>
      </c>
      <c r="J62" s="30" t="str">
        <f>IF(ISNA(VLOOKUP($A62,'Species Library'!$A$6:$Z$150,COLUMN('Species Library'!I58),FALSE)), "",VLOOKUP($A62,'Species Library'!$A$6:$Z$150,COLUMN('Species Library'!I58),FALSE))</f>
        <v/>
      </c>
      <c r="K62" s="30" t="str">
        <f>IF(ISNA(VLOOKUP($A62,'Species Library'!$A$6:$Z$150,COLUMN('Species Library'!J58),FALSE)), "",VLOOKUP($A62,'Species Library'!$A$6:$Z$150,COLUMN('Species Library'!J58),FALSE))</f>
        <v/>
      </c>
      <c r="L62" s="30" t="str">
        <f>IF(ISNA(VLOOKUP($A62,'Species Library'!$A$6:$Z$150,COLUMN('Species Library'!K58),FALSE)), "",VLOOKUP($A62,'Species Library'!$A$6:$Z$150,COLUMN('Species Library'!K58),FALSE))</f>
        <v/>
      </c>
      <c r="M62" s="30" t="str">
        <f t="shared" si="1"/>
        <v/>
      </c>
      <c r="N62" s="30" t="str">
        <f>IF(ISNA(VLOOKUP($A62,'Species Library'!$A$6:$Z$150,COLUMN('Species Library'!L58),FALSE)), "",VLOOKUP($A62,'Species Library'!$A$6:$Z$150,COLUMN('Species Library'!L58),FALSE))</f>
        <v/>
      </c>
      <c r="O62" s="30" t="str">
        <f>IF(ISNA(VLOOKUP($A62,'Species Library'!$A$6:$Z$150,COLUMN('Species Library'!M58),FALSE)), "",VLOOKUP($A62,'Species Library'!$A$6:$Z$150,COLUMN('Species Library'!M58),FALSE))</f>
        <v/>
      </c>
      <c r="P62" s="30" t="str">
        <f>IF(ISNA(VLOOKUP($A62,'Species Library'!$A$6:$Z$150,COLUMN('Species Library'!N58),FALSE)), "",VLOOKUP($A62,'Species Library'!$A$6:$Z$150,COLUMN('Species Library'!N58),FALSE))</f>
        <v/>
      </c>
      <c r="Q62" s="30" t="str">
        <f t="shared" si="2"/>
        <v/>
      </c>
      <c r="R62" s="30" t="str">
        <f>IF(ISNA(VLOOKUP($A62,'Species Library'!$A$6:$Z$150,COLUMN('Species Library'!O58),FALSE)), "",VLOOKUP($A62,'Species Library'!$A$6:$Z$150,COLUMN('Species Library'!O58),FALSE))</f>
        <v/>
      </c>
      <c r="S62" s="30" t="str">
        <f>IF(ISNA(VLOOKUP($A62,'Species Library'!$A$6:$Z$150,COLUMN('Species Library'!P58),FALSE)), "",VLOOKUP($A62,'Species Library'!$A$6:$Z$150,COLUMN('Species Library'!P58),FALSE))</f>
        <v/>
      </c>
      <c r="T62" s="30" t="str">
        <f>IF(ISNA(VLOOKUP($A62,'Species Library'!$A$6:$Z$150,COLUMN('Species Library'!Q58),FALSE)), "",VLOOKUP($A62,'Species Library'!$A$6:$Z$150,COLUMN('Species Library'!Q58),FALSE))</f>
        <v/>
      </c>
      <c r="U62" s="30" t="str">
        <f>IF(ISNA(VLOOKUP($A62,'Species Library'!$A$6:$Z$150,COLUMN('Species Library'!R58),FALSE)), "",VLOOKUP($A62,'Species Library'!$A$6:$Z$150,COLUMN('Species Library'!R58),FALSE))</f>
        <v/>
      </c>
      <c r="V62" s="30" t="str">
        <f>IF(ISNA(VLOOKUP($A62,'Species Library'!$A$6:$Z$150,COLUMN('Species Library'!S58),FALSE)), "",VLOOKUP($A62,'Species Library'!$A$6:$Z$150,COLUMN('Species Library'!S58),FALSE))</f>
        <v/>
      </c>
      <c r="W62" s="30" t="str">
        <f>IF(ISNA(VLOOKUP($A62,'Species Library'!$A$6:$Z$150,COLUMN('Species Library'!T58),FALSE)), "",VLOOKUP($A62,'Species Library'!$A$6:$Z$150,COLUMN('Species Library'!T58),FALSE))</f>
        <v/>
      </c>
      <c r="X62" s="30" t="str">
        <f t="shared" si="3"/>
        <v/>
      </c>
      <c r="Y62" s="30" t="str">
        <f>IF(ISNA(VLOOKUP($A62,'Species Library'!$A$6:$Z$150,COLUMN('Species Library'!U58),FALSE)), "",VLOOKUP($A62,'Species Library'!$A$6:$Z$150,COLUMN('Species Library'!U58),FALSE))</f>
        <v/>
      </c>
      <c r="Z62" s="30" t="str">
        <f>IF(ISNA(VLOOKUP($A62,'Species Library'!$A$6:$Z$150,COLUMN('Species Library'!V58),FALSE)), "",VLOOKUP($A62,'Species Library'!$A$6:$Z$150,COLUMN('Species Library'!V58),FALSE))</f>
        <v/>
      </c>
      <c r="AA62" s="30" t="str">
        <f>IF(ISNA(VLOOKUP($A62,'Species Library'!$A$6:$Z$150,COLUMN('Species Library'!W58),FALSE)), "",VLOOKUP($A62,'Species Library'!$A$6:$Z$150,COLUMN('Species Library'!W58),FALSE))</f>
        <v/>
      </c>
      <c r="AB62" s="30" t="str">
        <f>IF(ISNA(VLOOKUP($A62,'Species Library'!$A$6:$Z$150,COLUMN('Species Library'!X58),FALSE)), "",VLOOKUP($A62,'Species Library'!$A$6:$Z$150,COLUMN('Species Library'!X58),FALSE))</f>
        <v/>
      </c>
      <c r="AC62" s="30" t="str">
        <f>IF(ISNA(VLOOKUP($A62,'Species Library'!$A$6:$Z$150,COLUMN('Species Library'!Y58),FALSE)), "",VLOOKUP($A62,'Species Library'!$A$6:$Z$150,COLUMN('Species Library'!Y58),FALSE))</f>
        <v/>
      </c>
      <c r="AD62" s="30" t="str">
        <f>IF(ISNA(VLOOKUP($A62,'Species Library'!$A$6:$Z$150,COLUMN('Species Library'!Z58),FALSE)), "",VLOOKUP($A62,'Species Library'!$A$6:$Z$150,COLUMN('Species Library'!Z58),FALSE))</f>
        <v/>
      </c>
    </row>
    <row r="63" spans="2:30" x14ac:dyDescent="0.4">
      <c r="B63" s="30" t="str">
        <f>IF(ISNA(VLOOKUP($A63,'Species Library'!$A$6:$Z$150,COLUMN('Species Library'!B59),FALSE)), "",VLOOKUP($A63,'Species Library'!$A$6:$Z$150,COLUMN('Species Library'!B59),FALSE))</f>
        <v/>
      </c>
      <c r="C63" s="30" t="str">
        <f>IF(ISNA(VLOOKUP($A63,'Species Library'!$A$6:$Z$150,COLUMN('Species Library'!C59),FALSE)), "",VLOOKUP($A63,'Species Library'!$A$6:$Z$150,COLUMN('Species Library'!C59),FALSE))</f>
        <v/>
      </c>
      <c r="D63" s="30" t="str">
        <f>IF(ISNA(VLOOKUP($A63,'Species Library'!$A$6:$Z$150,COLUMN('Species Library'!D59),FALSE)), "",VLOOKUP($A63,'Species Library'!$A$6:$Z$150,COLUMN('Species Library'!D59),FALSE))</f>
        <v/>
      </c>
      <c r="E63" s="30" t="str">
        <f>IF(ISNA(VLOOKUP($A63,'Species Library'!$A$6:$Z$150,COLUMN('Species Library'!E59),FALSE)), "",VLOOKUP($A63,'Species Library'!$A$6:$Z$150,COLUMN('Species Library'!E59),FALSE))</f>
        <v/>
      </c>
      <c r="F63" s="30" t="str">
        <f>IF(ISNA(VLOOKUP($A63,'Species Library'!$A$6:$Z$150,COLUMN('Species Library'!F59),FALSE)), "",VLOOKUP($A63,'Species Library'!$A$6:$Z$150,COLUMN('Species Library'!F59),FALSE))</f>
        <v/>
      </c>
      <c r="G63" s="30" t="str">
        <f t="shared" si="0"/>
        <v/>
      </c>
      <c r="H63" s="30" t="str">
        <f>IF(ISNA(VLOOKUP($A63,'Species Library'!$A$6:$Z$150,COLUMN('Species Library'!G59),FALSE)), "",VLOOKUP($A63,'Species Library'!$A$6:$Z$150,COLUMN('Species Library'!G59),FALSE))</f>
        <v/>
      </c>
      <c r="I63" s="30" t="str">
        <f>IF(ISNA(VLOOKUP($A63,'Species Library'!$A$6:$Z$150,COLUMN('Species Library'!H59),FALSE)), "",VLOOKUP($A63,'Species Library'!$A$6:$Z$150,COLUMN('Species Library'!H59),FALSE))</f>
        <v/>
      </c>
      <c r="J63" s="30" t="str">
        <f>IF(ISNA(VLOOKUP($A63,'Species Library'!$A$6:$Z$150,COLUMN('Species Library'!I59),FALSE)), "",VLOOKUP($A63,'Species Library'!$A$6:$Z$150,COLUMN('Species Library'!I59),FALSE))</f>
        <v/>
      </c>
      <c r="K63" s="30" t="str">
        <f>IF(ISNA(VLOOKUP($A63,'Species Library'!$A$6:$Z$150,COLUMN('Species Library'!J59),FALSE)), "",VLOOKUP($A63,'Species Library'!$A$6:$Z$150,COLUMN('Species Library'!J59),FALSE))</f>
        <v/>
      </c>
      <c r="L63" s="30" t="str">
        <f>IF(ISNA(VLOOKUP($A63,'Species Library'!$A$6:$Z$150,COLUMN('Species Library'!K59),FALSE)), "",VLOOKUP($A63,'Species Library'!$A$6:$Z$150,COLUMN('Species Library'!K59),FALSE))</f>
        <v/>
      </c>
      <c r="M63" s="30" t="str">
        <f t="shared" si="1"/>
        <v/>
      </c>
      <c r="N63" s="30" t="str">
        <f>IF(ISNA(VLOOKUP($A63,'Species Library'!$A$6:$Z$150,COLUMN('Species Library'!L59),FALSE)), "",VLOOKUP($A63,'Species Library'!$A$6:$Z$150,COLUMN('Species Library'!L59),FALSE))</f>
        <v/>
      </c>
      <c r="O63" s="30" t="str">
        <f>IF(ISNA(VLOOKUP($A63,'Species Library'!$A$6:$Z$150,COLUMN('Species Library'!M59),FALSE)), "",VLOOKUP($A63,'Species Library'!$A$6:$Z$150,COLUMN('Species Library'!M59),FALSE))</f>
        <v/>
      </c>
      <c r="P63" s="30" t="str">
        <f>IF(ISNA(VLOOKUP($A63,'Species Library'!$A$6:$Z$150,COLUMN('Species Library'!N59),FALSE)), "",VLOOKUP($A63,'Species Library'!$A$6:$Z$150,COLUMN('Species Library'!N59),FALSE))</f>
        <v/>
      </c>
      <c r="Q63" s="30" t="str">
        <f t="shared" si="2"/>
        <v/>
      </c>
      <c r="R63" s="30" t="str">
        <f>IF(ISNA(VLOOKUP($A63,'Species Library'!$A$6:$Z$150,COLUMN('Species Library'!O59),FALSE)), "",VLOOKUP($A63,'Species Library'!$A$6:$Z$150,COLUMN('Species Library'!O59),FALSE))</f>
        <v/>
      </c>
      <c r="S63" s="30" t="str">
        <f>IF(ISNA(VLOOKUP($A63,'Species Library'!$A$6:$Z$150,COLUMN('Species Library'!P59),FALSE)), "",VLOOKUP($A63,'Species Library'!$A$6:$Z$150,COLUMN('Species Library'!P59),FALSE))</f>
        <v/>
      </c>
      <c r="T63" s="30" t="str">
        <f>IF(ISNA(VLOOKUP($A63,'Species Library'!$A$6:$Z$150,COLUMN('Species Library'!Q59),FALSE)), "",VLOOKUP($A63,'Species Library'!$A$6:$Z$150,COLUMN('Species Library'!Q59),FALSE))</f>
        <v/>
      </c>
      <c r="U63" s="30" t="str">
        <f>IF(ISNA(VLOOKUP($A63,'Species Library'!$A$6:$Z$150,COLUMN('Species Library'!R59),FALSE)), "",VLOOKUP($A63,'Species Library'!$A$6:$Z$150,COLUMN('Species Library'!R59),FALSE))</f>
        <v/>
      </c>
      <c r="V63" s="30" t="str">
        <f>IF(ISNA(VLOOKUP($A63,'Species Library'!$A$6:$Z$150,COLUMN('Species Library'!S59),FALSE)), "",VLOOKUP($A63,'Species Library'!$A$6:$Z$150,COLUMN('Species Library'!S59),FALSE))</f>
        <v/>
      </c>
      <c r="W63" s="30" t="str">
        <f>IF(ISNA(VLOOKUP($A63,'Species Library'!$A$6:$Z$150,COLUMN('Species Library'!T59),FALSE)), "",VLOOKUP($A63,'Species Library'!$A$6:$Z$150,COLUMN('Species Library'!T59),FALSE))</f>
        <v/>
      </c>
      <c r="X63" s="30" t="str">
        <f t="shared" si="3"/>
        <v/>
      </c>
      <c r="Y63" s="30" t="str">
        <f>IF(ISNA(VLOOKUP($A63,'Species Library'!$A$6:$Z$150,COLUMN('Species Library'!U59),FALSE)), "",VLOOKUP($A63,'Species Library'!$A$6:$Z$150,COLUMN('Species Library'!U59),FALSE))</f>
        <v/>
      </c>
      <c r="Z63" s="30" t="str">
        <f>IF(ISNA(VLOOKUP($A63,'Species Library'!$A$6:$Z$150,COLUMN('Species Library'!V59),FALSE)), "",VLOOKUP($A63,'Species Library'!$A$6:$Z$150,COLUMN('Species Library'!V59),FALSE))</f>
        <v/>
      </c>
      <c r="AA63" s="30" t="str">
        <f>IF(ISNA(VLOOKUP($A63,'Species Library'!$A$6:$Z$150,COLUMN('Species Library'!W59),FALSE)), "",VLOOKUP($A63,'Species Library'!$A$6:$Z$150,COLUMN('Species Library'!W59),FALSE))</f>
        <v/>
      </c>
      <c r="AB63" s="30" t="str">
        <f>IF(ISNA(VLOOKUP($A63,'Species Library'!$A$6:$Z$150,COLUMN('Species Library'!X59),FALSE)), "",VLOOKUP($A63,'Species Library'!$A$6:$Z$150,COLUMN('Species Library'!X59),FALSE))</f>
        <v/>
      </c>
      <c r="AC63" s="30" t="str">
        <f>IF(ISNA(VLOOKUP($A63,'Species Library'!$A$6:$Z$150,COLUMN('Species Library'!Y59),FALSE)), "",VLOOKUP($A63,'Species Library'!$A$6:$Z$150,COLUMN('Species Library'!Y59),FALSE))</f>
        <v/>
      </c>
      <c r="AD63" s="30" t="str">
        <f>IF(ISNA(VLOOKUP($A63,'Species Library'!$A$6:$Z$150,COLUMN('Species Library'!Z59),FALSE)), "",VLOOKUP($A63,'Species Library'!$A$6:$Z$150,COLUMN('Species Library'!Z59),FALSE))</f>
        <v/>
      </c>
    </row>
    <row r="64" spans="2:30" x14ac:dyDescent="0.4">
      <c r="B64" s="30" t="str">
        <f>IF(ISNA(VLOOKUP($A64,'Species Library'!$A$6:$Z$150,COLUMN('Species Library'!B60),FALSE)), "",VLOOKUP($A64,'Species Library'!$A$6:$Z$150,COLUMN('Species Library'!B60),FALSE))</f>
        <v/>
      </c>
      <c r="C64" s="30" t="str">
        <f>IF(ISNA(VLOOKUP($A64,'Species Library'!$A$6:$Z$150,COLUMN('Species Library'!C60),FALSE)), "",VLOOKUP($A64,'Species Library'!$A$6:$Z$150,COLUMN('Species Library'!C60),FALSE))</f>
        <v/>
      </c>
      <c r="D64" s="30" t="str">
        <f>IF(ISNA(VLOOKUP($A64,'Species Library'!$A$6:$Z$150,COLUMN('Species Library'!D60),FALSE)), "",VLOOKUP($A64,'Species Library'!$A$6:$Z$150,COLUMN('Species Library'!D60),FALSE))</f>
        <v/>
      </c>
      <c r="E64" s="30" t="str">
        <f>IF(ISNA(VLOOKUP($A64,'Species Library'!$A$6:$Z$150,COLUMN('Species Library'!E60),FALSE)), "",VLOOKUP($A64,'Species Library'!$A$6:$Z$150,COLUMN('Species Library'!E60),FALSE))</f>
        <v/>
      </c>
      <c r="F64" s="30" t="str">
        <f>IF(ISNA(VLOOKUP($A64,'Species Library'!$A$6:$Z$150,COLUMN('Species Library'!F60),FALSE)), "",VLOOKUP($A64,'Species Library'!$A$6:$Z$150,COLUMN('Species Library'!F60),FALSE))</f>
        <v/>
      </c>
      <c r="G64" s="30" t="str">
        <f t="shared" si="0"/>
        <v/>
      </c>
      <c r="H64" s="30" t="str">
        <f>IF(ISNA(VLOOKUP($A64,'Species Library'!$A$6:$Z$150,COLUMN('Species Library'!G60),FALSE)), "",VLOOKUP($A64,'Species Library'!$A$6:$Z$150,COLUMN('Species Library'!G60),FALSE))</f>
        <v/>
      </c>
      <c r="I64" s="30" t="str">
        <f>IF(ISNA(VLOOKUP($A64,'Species Library'!$A$6:$Z$150,COLUMN('Species Library'!H60),FALSE)), "",VLOOKUP($A64,'Species Library'!$A$6:$Z$150,COLUMN('Species Library'!H60),FALSE))</f>
        <v/>
      </c>
      <c r="J64" s="30" t="str">
        <f>IF(ISNA(VLOOKUP($A64,'Species Library'!$A$6:$Z$150,COLUMN('Species Library'!I60),FALSE)), "",VLOOKUP($A64,'Species Library'!$A$6:$Z$150,COLUMN('Species Library'!I60),FALSE))</f>
        <v/>
      </c>
      <c r="K64" s="30" t="str">
        <f>IF(ISNA(VLOOKUP($A64,'Species Library'!$A$6:$Z$150,COLUMN('Species Library'!J60),FALSE)), "",VLOOKUP($A64,'Species Library'!$A$6:$Z$150,COLUMN('Species Library'!J60),FALSE))</f>
        <v/>
      </c>
      <c r="L64" s="30" t="str">
        <f>IF(ISNA(VLOOKUP($A64,'Species Library'!$A$6:$Z$150,COLUMN('Species Library'!K60),FALSE)), "",VLOOKUP($A64,'Species Library'!$A$6:$Z$150,COLUMN('Species Library'!K60),FALSE))</f>
        <v/>
      </c>
      <c r="M64" s="30" t="str">
        <f t="shared" si="1"/>
        <v/>
      </c>
      <c r="N64" s="30" t="str">
        <f>IF(ISNA(VLOOKUP($A64,'Species Library'!$A$6:$Z$150,COLUMN('Species Library'!L60),FALSE)), "",VLOOKUP($A64,'Species Library'!$A$6:$Z$150,COLUMN('Species Library'!L60),FALSE))</f>
        <v/>
      </c>
      <c r="O64" s="30" t="str">
        <f>IF(ISNA(VLOOKUP($A64,'Species Library'!$A$6:$Z$150,COLUMN('Species Library'!M60),FALSE)), "",VLOOKUP($A64,'Species Library'!$A$6:$Z$150,COLUMN('Species Library'!M60),FALSE))</f>
        <v/>
      </c>
      <c r="P64" s="30" t="str">
        <f>IF(ISNA(VLOOKUP($A64,'Species Library'!$A$6:$Z$150,COLUMN('Species Library'!N60),FALSE)), "",VLOOKUP($A64,'Species Library'!$A$6:$Z$150,COLUMN('Species Library'!N60),FALSE))</f>
        <v/>
      </c>
      <c r="Q64" s="30" t="str">
        <f t="shared" si="2"/>
        <v/>
      </c>
      <c r="R64" s="30" t="str">
        <f>IF(ISNA(VLOOKUP($A64,'Species Library'!$A$6:$Z$150,COLUMN('Species Library'!O60),FALSE)), "",VLOOKUP($A64,'Species Library'!$A$6:$Z$150,COLUMN('Species Library'!O60),FALSE))</f>
        <v/>
      </c>
      <c r="S64" s="30" t="str">
        <f>IF(ISNA(VLOOKUP($A64,'Species Library'!$A$6:$Z$150,COLUMN('Species Library'!P60),FALSE)), "",VLOOKUP($A64,'Species Library'!$A$6:$Z$150,COLUMN('Species Library'!P60),FALSE))</f>
        <v/>
      </c>
      <c r="T64" s="30" t="str">
        <f>IF(ISNA(VLOOKUP($A64,'Species Library'!$A$6:$Z$150,COLUMN('Species Library'!Q60),FALSE)), "",VLOOKUP($A64,'Species Library'!$A$6:$Z$150,COLUMN('Species Library'!Q60),FALSE))</f>
        <v/>
      </c>
      <c r="U64" s="30" t="str">
        <f>IF(ISNA(VLOOKUP($A64,'Species Library'!$A$6:$Z$150,COLUMN('Species Library'!R60),FALSE)), "",VLOOKUP($A64,'Species Library'!$A$6:$Z$150,COLUMN('Species Library'!R60),FALSE))</f>
        <v/>
      </c>
      <c r="V64" s="30" t="str">
        <f>IF(ISNA(VLOOKUP($A64,'Species Library'!$A$6:$Z$150,COLUMN('Species Library'!S60),FALSE)), "",VLOOKUP($A64,'Species Library'!$A$6:$Z$150,COLUMN('Species Library'!S60),FALSE))</f>
        <v/>
      </c>
      <c r="W64" s="30" t="str">
        <f>IF(ISNA(VLOOKUP($A64,'Species Library'!$A$6:$Z$150,COLUMN('Species Library'!T60),FALSE)), "",VLOOKUP($A64,'Species Library'!$A$6:$Z$150,COLUMN('Species Library'!T60),FALSE))</f>
        <v/>
      </c>
      <c r="X64" s="30" t="str">
        <f t="shared" si="3"/>
        <v/>
      </c>
      <c r="Y64" s="30" t="str">
        <f>IF(ISNA(VLOOKUP($A64,'Species Library'!$A$6:$Z$150,COLUMN('Species Library'!U60),FALSE)), "",VLOOKUP($A64,'Species Library'!$A$6:$Z$150,COLUMN('Species Library'!U60),FALSE))</f>
        <v/>
      </c>
      <c r="Z64" s="30" t="str">
        <f>IF(ISNA(VLOOKUP($A64,'Species Library'!$A$6:$Z$150,COLUMN('Species Library'!V60),FALSE)), "",VLOOKUP($A64,'Species Library'!$A$6:$Z$150,COLUMN('Species Library'!V60),FALSE))</f>
        <v/>
      </c>
      <c r="AA64" s="30" t="str">
        <f>IF(ISNA(VLOOKUP($A64,'Species Library'!$A$6:$Z$150,COLUMN('Species Library'!W60),FALSE)), "",VLOOKUP($A64,'Species Library'!$A$6:$Z$150,COLUMN('Species Library'!W60),FALSE))</f>
        <v/>
      </c>
      <c r="AB64" s="30" t="str">
        <f>IF(ISNA(VLOOKUP($A64,'Species Library'!$A$6:$Z$150,COLUMN('Species Library'!X60),FALSE)), "",VLOOKUP($A64,'Species Library'!$A$6:$Z$150,COLUMN('Species Library'!X60),FALSE))</f>
        <v/>
      </c>
      <c r="AC64" s="30" t="str">
        <f>IF(ISNA(VLOOKUP($A64,'Species Library'!$A$6:$Z$150,COLUMN('Species Library'!Y60),FALSE)), "",VLOOKUP($A64,'Species Library'!$A$6:$Z$150,COLUMN('Species Library'!Y60),FALSE))</f>
        <v/>
      </c>
      <c r="AD64" s="30" t="str">
        <f>IF(ISNA(VLOOKUP($A64,'Species Library'!$A$6:$Z$150,COLUMN('Species Library'!Z60),FALSE)), "",VLOOKUP($A64,'Species Library'!$A$6:$Z$150,COLUMN('Species Library'!Z60),FALSE))</f>
        <v/>
      </c>
    </row>
    <row r="65" spans="2:30" x14ac:dyDescent="0.4">
      <c r="B65" s="30" t="str">
        <f>IF(ISNA(VLOOKUP($A65,'Species Library'!$A$6:$Z$150,COLUMN('Species Library'!B61),FALSE)), "",VLOOKUP($A65,'Species Library'!$A$6:$Z$150,COLUMN('Species Library'!B61),FALSE))</f>
        <v/>
      </c>
      <c r="C65" s="30" t="str">
        <f>IF(ISNA(VLOOKUP($A65,'Species Library'!$A$6:$Z$150,COLUMN('Species Library'!C61),FALSE)), "",VLOOKUP($A65,'Species Library'!$A$6:$Z$150,COLUMN('Species Library'!C61),FALSE))</f>
        <v/>
      </c>
      <c r="D65" s="30" t="str">
        <f>IF(ISNA(VLOOKUP($A65,'Species Library'!$A$6:$Z$150,COLUMN('Species Library'!D61),FALSE)), "",VLOOKUP($A65,'Species Library'!$A$6:$Z$150,COLUMN('Species Library'!D61),FALSE))</f>
        <v/>
      </c>
      <c r="E65" s="30" t="str">
        <f>IF(ISNA(VLOOKUP($A65,'Species Library'!$A$6:$Z$150,COLUMN('Species Library'!E61),FALSE)), "",VLOOKUP($A65,'Species Library'!$A$6:$Z$150,COLUMN('Species Library'!E61),FALSE))</f>
        <v/>
      </c>
      <c r="F65" s="30" t="str">
        <f>IF(ISNA(VLOOKUP($A65,'Species Library'!$A$6:$Z$150,COLUMN('Species Library'!F61),FALSE)), "",VLOOKUP($A65,'Species Library'!$A$6:$Z$150,COLUMN('Species Library'!F61),FALSE))</f>
        <v/>
      </c>
      <c r="G65" s="30" t="str">
        <f t="shared" si="0"/>
        <v/>
      </c>
      <c r="H65" s="30" t="str">
        <f>IF(ISNA(VLOOKUP($A65,'Species Library'!$A$6:$Z$150,COLUMN('Species Library'!G61),FALSE)), "",VLOOKUP($A65,'Species Library'!$A$6:$Z$150,COLUMN('Species Library'!G61),FALSE))</f>
        <v/>
      </c>
      <c r="I65" s="30" t="str">
        <f>IF(ISNA(VLOOKUP($A65,'Species Library'!$A$6:$Z$150,COLUMN('Species Library'!H61),FALSE)), "",VLOOKUP($A65,'Species Library'!$A$6:$Z$150,COLUMN('Species Library'!H61),FALSE))</f>
        <v/>
      </c>
      <c r="J65" s="30" t="str">
        <f>IF(ISNA(VLOOKUP($A65,'Species Library'!$A$6:$Z$150,COLUMN('Species Library'!I61),FALSE)), "",VLOOKUP($A65,'Species Library'!$A$6:$Z$150,COLUMN('Species Library'!I61),FALSE))</f>
        <v/>
      </c>
      <c r="K65" s="30" t="str">
        <f>IF(ISNA(VLOOKUP($A65,'Species Library'!$A$6:$Z$150,COLUMN('Species Library'!J61),FALSE)), "",VLOOKUP($A65,'Species Library'!$A$6:$Z$150,COLUMN('Species Library'!J61),FALSE))</f>
        <v/>
      </c>
      <c r="L65" s="30" t="str">
        <f>IF(ISNA(VLOOKUP($A65,'Species Library'!$A$6:$Z$150,COLUMN('Species Library'!K61),FALSE)), "",VLOOKUP($A65,'Species Library'!$A$6:$Z$150,COLUMN('Species Library'!K61),FALSE))</f>
        <v/>
      </c>
      <c r="M65" s="30" t="str">
        <f t="shared" si="1"/>
        <v/>
      </c>
      <c r="N65" s="30" t="str">
        <f>IF(ISNA(VLOOKUP($A65,'Species Library'!$A$6:$Z$150,COLUMN('Species Library'!L61),FALSE)), "",VLOOKUP($A65,'Species Library'!$A$6:$Z$150,COLUMN('Species Library'!L61),FALSE))</f>
        <v/>
      </c>
      <c r="O65" s="30" t="str">
        <f>IF(ISNA(VLOOKUP($A65,'Species Library'!$A$6:$Z$150,COLUMN('Species Library'!M61),FALSE)), "",VLOOKUP($A65,'Species Library'!$A$6:$Z$150,COLUMN('Species Library'!M61),FALSE))</f>
        <v/>
      </c>
      <c r="P65" s="30" t="str">
        <f>IF(ISNA(VLOOKUP($A65,'Species Library'!$A$6:$Z$150,COLUMN('Species Library'!N61),FALSE)), "",VLOOKUP($A65,'Species Library'!$A$6:$Z$150,COLUMN('Species Library'!N61),FALSE))</f>
        <v/>
      </c>
      <c r="Q65" s="30" t="str">
        <f t="shared" si="2"/>
        <v/>
      </c>
      <c r="R65" s="30" t="str">
        <f>IF(ISNA(VLOOKUP($A65,'Species Library'!$A$6:$Z$150,COLUMN('Species Library'!O61),FALSE)), "",VLOOKUP($A65,'Species Library'!$A$6:$Z$150,COLUMN('Species Library'!O61),FALSE))</f>
        <v/>
      </c>
      <c r="S65" s="30" t="str">
        <f>IF(ISNA(VLOOKUP($A65,'Species Library'!$A$6:$Z$150,COLUMN('Species Library'!P61),FALSE)), "",VLOOKUP($A65,'Species Library'!$A$6:$Z$150,COLUMN('Species Library'!P61),FALSE))</f>
        <v/>
      </c>
      <c r="T65" s="30" t="str">
        <f>IF(ISNA(VLOOKUP($A65,'Species Library'!$A$6:$Z$150,COLUMN('Species Library'!Q61),FALSE)), "",VLOOKUP($A65,'Species Library'!$A$6:$Z$150,COLUMN('Species Library'!Q61),FALSE))</f>
        <v/>
      </c>
      <c r="U65" s="30" t="str">
        <f>IF(ISNA(VLOOKUP($A65,'Species Library'!$A$6:$Z$150,COLUMN('Species Library'!R61),FALSE)), "",VLOOKUP($A65,'Species Library'!$A$6:$Z$150,COLUMN('Species Library'!R61),FALSE))</f>
        <v/>
      </c>
      <c r="V65" s="30" t="str">
        <f>IF(ISNA(VLOOKUP($A65,'Species Library'!$A$6:$Z$150,COLUMN('Species Library'!S61),FALSE)), "",VLOOKUP($A65,'Species Library'!$A$6:$Z$150,COLUMN('Species Library'!S61),FALSE))</f>
        <v/>
      </c>
      <c r="W65" s="30" t="str">
        <f>IF(ISNA(VLOOKUP($A65,'Species Library'!$A$6:$Z$150,COLUMN('Species Library'!T61),FALSE)), "",VLOOKUP($A65,'Species Library'!$A$6:$Z$150,COLUMN('Species Library'!T61),FALSE))</f>
        <v/>
      </c>
      <c r="X65" s="30" t="str">
        <f t="shared" si="3"/>
        <v/>
      </c>
      <c r="Y65" s="30" t="str">
        <f>IF(ISNA(VLOOKUP($A65,'Species Library'!$A$6:$Z$150,COLUMN('Species Library'!U61),FALSE)), "",VLOOKUP($A65,'Species Library'!$A$6:$Z$150,COLUMN('Species Library'!U61),FALSE))</f>
        <v/>
      </c>
      <c r="Z65" s="30" t="str">
        <f>IF(ISNA(VLOOKUP($A65,'Species Library'!$A$6:$Z$150,COLUMN('Species Library'!V61),FALSE)), "",VLOOKUP($A65,'Species Library'!$A$6:$Z$150,COLUMN('Species Library'!V61),FALSE))</f>
        <v/>
      </c>
      <c r="AA65" s="30" t="str">
        <f>IF(ISNA(VLOOKUP($A65,'Species Library'!$A$6:$Z$150,COLUMN('Species Library'!W61),FALSE)), "",VLOOKUP($A65,'Species Library'!$A$6:$Z$150,COLUMN('Species Library'!W61),FALSE))</f>
        <v/>
      </c>
      <c r="AB65" s="30" t="str">
        <f>IF(ISNA(VLOOKUP($A65,'Species Library'!$A$6:$Z$150,COLUMN('Species Library'!X61),FALSE)), "",VLOOKUP($A65,'Species Library'!$A$6:$Z$150,COLUMN('Species Library'!X61),FALSE))</f>
        <v/>
      </c>
      <c r="AC65" s="30" t="str">
        <f>IF(ISNA(VLOOKUP($A65,'Species Library'!$A$6:$Z$150,COLUMN('Species Library'!Y61),FALSE)), "",VLOOKUP($A65,'Species Library'!$A$6:$Z$150,COLUMN('Species Library'!Y61),FALSE))</f>
        <v/>
      </c>
      <c r="AD65" s="30" t="str">
        <f>IF(ISNA(VLOOKUP($A65,'Species Library'!$A$6:$Z$150,COLUMN('Species Library'!Z61),FALSE)), "",VLOOKUP($A65,'Species Library'!$A$6:$Z$150,COLUMN('Species Library'!Z61),FALSE))</f>
        <v/>
      </c>
    </row>
    <row r="66" spans="2:30" x14ac:dyDescent="0.4">
      <c r="B66" s="30" t="str">
        <f>IF(ISNA(VLOOKUP($A66,'Species Library'!$A$6:$Z$150,COLUMN('Species Library'!B62),FALSE)), "",VLOOKUP($A66,'Species Library'!$A$6:$Z$150,COLUMN('Species Library'!B62),FALSE))</f>
        <v/>
      </c>
      <c r="C66" s="30" t="str">
        <f>IF(ISNA(VLOOKUP($A66,'Species Library'!$A$6:$Z$150,COLUMN('Species Library'!C62),FALSE)), "",VLOOKUP($A66,'Species Library'!$A$6:$Z$150,COLUMN('Species Library'!C62),FALSE))</f>
        <v/>
      </c>
      <c r="D66" s="30" t="str">
        <f>IF(ISNA(VLOOKUP($A66,'Species Library'!$A$6:$Z$150,COLUMN('Species Library'!D62),FALSE)), "",VLOOKUP($A66,'Species Library'!$A$6:$Z$150,COLUMN('Species Library'!D62),FALSE))</f>
        <v/>
      </c>
      <c r="E66" s="30" t="str">
        <f>IF(ISNA(VLOOKUP($A66,'Species Library'!$A$6:$Z$150,COLUMN('Species Library'!E62),FALSE)), "",VLOOKUP($A66,'Species Library'!$A$6:$Z$150,COLUMN('Species Library'!E62),FALSE))</f>
        <v/>
      </c>
      <c r="F66" s="30" t="str">
        <f>IF(ISNA(VLOOKUP($A66,'Species Library'!$A$6:$Z$150,COLUMN('Species Library'!F62),FALSE)), "",VLOOKUP($A66,'Species Library'!$A$6:$Z$150,COLUMN('Species Library'!F62),FALSE))</f>
        <v/>
      </c>
      <c r="G66" s="30" t="str">
        <f t="shared" si="0"/>
        <v/>
      </c>
      <c r="H66" s="30" t="str">
        <f>IF(ISNA(VLOOKUP($A66,'Species Library'!$A$6:$Z$150,COLUMN('Species Library'!G62),FALSE)), "",VLOOKUP($A66,'Species Library'!$A$6:$Z$150,COLUMN('Species Library'!G62),FALSE))</f>
        <v/>
      </c>
      <c r="I66" s="30" t="str">
        <f>IF(ISNA(VLOOKUP($A66,'Species Library'!$A$6:$Z$150,COLUMN('Species Library'!H62),FALSE)), "",VLOOKUP($A66,'Species Library'!$A$6:$Z$150,COLUMN('Species Library'!H62),FALSE))</f>
        <v/>
      </c>
      <c r="J66" s="30" t="str">
        <f>IF(ISNA(VLOOKUP($A66,'Species Library'!$A$6:$Z$150,COLUMN('Species Library'!I62),FALSE)), "",VLOOKUP($A66,'Species Library'!$A$6:$Z$150,COLUMN('Species Library'!I62),FALSE))</f>
        <v/>
      </c>
      <c r="K66" s="30" t="str">
        <f>IF(ISNA(VLOOKUP($A66,'Species Library'!$A$6:$Z$150,COLUMN('Species Library'!J62),FALSE)), "",VLOOKUP($A66,'Species Library'!$A$6:$Z$150,COLUMN('Species Library'!J62),FALSE))</f>
        <v/>
      </c>
      <c r="L66" s="30" t="str">
        <f>IF(ISNA(VLOOKUP($A66,'Species Library'!$A$6:$Z$150,COLUMN('Species Library'!K62),FALSE)), "",VLOOKUP($A66,'Species Library'!$A$6:$Z$150,COLUMN('Species Library'!K62),FALSE))</f>
        <v/>
      </c>
      <c r="M66" s="30" t="str">
        <f t="shared" si="1"/>
        <v/>
      </c>
      <c r="N66" s="30" t="str">
        <f>IF(ISNA(VLOOKUP($A66,'Species Library'!$A$6:$Z$150,COLUMN('Species Library'!L62),FALSE)), "",VLOOKUP($A66,'Species Library'!$A$6:$Z$150,COLUMN('Species Library'!L62),FALSE))</f>
        <v/>
      </c>
      <c r="O66" s="30" t="str">
        <f>IF(ISNA(VLOOKUP($A66,'Species Library'!$A$6:$Z$150,COLUMN('Species Library'!M62),FALSE)), "",VLOOKUP($A66,'Species Library'!$A$6:$Z$150,COLUMN('Species Library'!M62),FALSE))</f>
        <v/>
      </c>
      <c r="P66" s="30" t="str">
        <f>IF(ISNA(VLOOKUP($A66,'Species Library'!$A$6:$Z$150,COLUMN('Species Library'!N62),FALSE)), "",VLOOKUP($A66,'Species Library'!$A$6:$Z$150,COLUMN('Species Library'!N62),FALSE))</f>
        <v/>
      </c>
      <c r="Q66" s="30" t="str">
        <f t="shared" si="2"/>
        <v/>
      </c>
      <c r="R66" s="30" t="str">
        <f>IF(ISNA(VLOOKUP($A66,'Species Library'!$A$6:$Z$150,COLUMN('Species Library'!O62),FALSE)), "",VLOOKUP($A66,'Species Library'!$A$6:$Z$150,COLUMN('Species Library'!O62),FALSE))</f>
        <v/>
      </c>
      <c r="S66" s="30" t="str">
        <f>IF(ISNA(VLOOKUP($A66,'Species Library'!$A$6:$Z$150,COLUMN('Species Library'!P62),FALSE)), "",VLOOKUP($A66,'Species Library'!$A$6:$Z$150,COLUMN('Species Library'!P62),FALSE))</f>
        <v/>
      </c>
      <c r="T66" s="30" t="str">
        <f>IF(ISNA(VLOOKUP($A66,'Species Library'!$A$6:$Z$150,COLUMN('Species Library'!Q62),FALSE)), "",VLOOKUP($A66,'Species Library'!$A$6:$Z$150,COLUMN('Species Library'!Q62),FALSE))</f>
        <v/>
      </c>
      <c r="U66" s="30" t="str">
        <f>IF(ISNA(VLOOKUP($A66,'Species Library'!$A$6:$Z$150,COLUMN('Species Library'!R62),FALSE)), "",VLOOKUP($A66,'Species Library'!$A$6:$Z$150,COLUMN('Species Library'!R62),FALSE))</f>
        <v/>
      </c>
      <c r="V66" s="30" t="str">
        <f>IF(ISNA(VLOOKUP($A66,'Species Library'!$A$6:$Z$150,COLUMN('Species Library'!S62),FALSE)), "",VLOOKUP($A66,'Species Library'!$A$6:$Z$150,COLUMN('Species Library'!S62),FALSE))</f>
        <v/>
      </c>
      <c r="W66" s="30" t="str">
        <f>IF(ISNA(VLOOKUP($A66,'Species Library'!$A$6:$Z$150,COLUMN('Species Library'!T62),FALSE)), "",VLOOKUP($A66,'Species Library'!$A$6:$Z$150,COLUMN('Species Library'!T62),FALSE))</f>
        <v/>
      </c>
      <c r="X66" s="30" t="str">
        <f t="shared" si="3"/>
        <v/>
      </c>
      <c r="Y66" s="30" t="str">
        <f>IF(ISNA(VLOOKUP($A66,'Species Library'!$A$6:$Z$150,COLUMN('Species Library'!U62),FALSE)), "",VLOOKUP($A66,'Species Library'!$A$6:$Z$150,COLUMN('Species Library'!U62),FALSE))</f>
        <v/>
      </c>
      <c r="Z66" s="30" t="str">
        <f>IF(ISNA(VLOOKUP($A66,'Species Library'!$A$6:$Z$150,COLUMN('Species Library'!V62),FALSE)), "",VLOOKUP($A66,'Species Library'!$A$6:$Z$150,COLUMN('Species Library'!V62),FALSE))</f>
        <v/>
      </c>
      <c r="AA66" s="30" t="str">
        <f>IF(ISNA(VLOOKUP($A66,'Species Library'!$A$6:$Z$150,COLUMN('Species Library'!W62),FALSE)), "",VLOOKUP($A66,'Species Library'!$A$6:$Z$150,COLUMN('Species Library'!W62),FALSE))</f>
        <v/>
      </c>
      <c r="AB66" s="30" t="str">
        <f>IF(ISNA(VLOOKUP($A66,'Species Library'!$A$6:$Z$150,COLUMN('Species Library'!X62),FALSE)), "",VLOOKUP($A66,'Species Library'!$A$6:$Z$150,COLUMN('Species Library'!X62),FALSE))</f>
        <v/>
      </c>
      <c r="AC66" s="30" t="str">
        <f>IF(ISNA(VLOOKUP($A66,'Species Library'!$A$6:$Z$150,COLUMN('Species Library'!Y62),FALSE)), "",VLOOKUP($A66,'Species Library'!$A$6:$Z$150,COLUMN('Species Library'!Y62),FALSE))</f>
        <v/>
      </c>
      <c r="AD66" s="30" t="str">
        <f>IF(ISNA(VLOOKUP($A66,'Species Library'!$A$6:$Z$150,COLUMN('Species Library'!Z62),FALSE)), "",VLOOKUP($A66,'Species Library'!$A$6:$Z$150,COLUMN('Species Library'!Z62),FALSE))</f>
        <v/>
      </c>
    </row>
    <row r="67" spans="2:30" x14ac:dyDescent="0.4">
      <c r="B67" s="30" t="str">
        <f>IF(ISNA(VLOOKUP($A67,'Species Library'!$A$6:$Z$150,COLUMN('Species Library'!B63),FALSE)), "",VLOOKUP($A67,'Species Library'!$A$6:$Z$150,COLUMN('Species Library'!B63),FALSE))</f>
        <v/>
      </c>
      <c r="C67" s="30" t="str">
        <f>IF(ISNA(VLOOKUP($A67,'Species Library'!$A$6:$Z$150,COLUMN('Species Library'!C63),FALSE)), "",VLOOKUP($A67,'Species Library'!$A$6:$Z$150,COLUMN('Species Library'!C63),FALSE))</f>
        <v/>
      </c>
      <c r="D67" s="30" t="str">
        <f>IF(ISNA(VLOOKUP($A67,'Species Library'!$A$6:$Z$150,COLUMN('Species Library'!D63),FALSE)), "",VLOOKUP($A67,'Species Library'!$A$6:$Z$150,COLUMN('Species Library'!D63),FALSE))</f>
        <v/>
      </c>
      <c r="E67" s="30" t="str">
        <f>IF(ISNA(VLOOKUP($A67,'Species Library'!$A$6:$Z$150,COLUMN('Species Library'!E63),FALSE)), "",VLOOKUP($A67,'Species Library'!$A$6:$Z$150,COLUMN('Species Library'!E63),FALSE))</f>
        <v/>
      </c>
      <c r="F67" s="30" t="str">
        <f>IF(ISNA(VLOOKUP($A67,'Species Library'!$A$6:$Z$150,COLUMN('Species Library'!F63),FALSE)), "",VLOOKUP($A67,'Species Library'!$A$6:$Z$150,COLUMN('Species Library'!F63),FALSE))</f>
        <v/>
      </c>
      <c r="G67" s="30" t="str">
        <f t="shared" si="0"/>
        <v/>
      </c>
      <c r="H67" s="30" t="str">
        <f>IF(ISNA(VLOOKUP($A67,'Species Library'!$A$6:$Z$150,COLUMN('Species Library'!G63),FALSE)), "",VLOOKUP($A67,'Species Library'!$A$6:$Z$150,COLUMN('Species Library'!G63),FALSE))</f>
        <v/>
      </c>
      <c r="I67" s="30" t="str">
        <f>IF(ISNA(VLOOKUP($A67,'Species Library'!$A$6:$Z$150,COLUMN('Species Library'!H63),FALSE)), "",VLOOKUP($A67,'Species Library'!$A$6:$Z$150,COLUMN('Species Library'!H63),FALSE))</f>
        <v/>
      </c>
      <c r="J67" s="30" t="str">
        <f>IF(ISNA(VLOOKUP($A67,'Species Library'!$A$6:$Z$150,COLUMN('Species Library'!I63),FALSE)), "",VLOOKUP($A67,'Species Library'!$A$6:$Z$150,COLUMN('Species Library'!I63),FALSE))</f>
        <v/>
      </c>
      <c r="K67" s="30" t="str">
        <f>IF(ISNA(VLOOKUP($A67,'Species Library'!$A$6:$Z$150,COLUMN('Species Library'!J63),FALSE)), "",VLOOKUP($A67,'Species Library'!$A$6:$Z$150,COLUMN('Species Library'!J63),FALSE))</f>
        <v/>
      </c>
      <c r="L67" s="30" t="str">
        <f>IF(ISNA(VLOOKUP($A67,'Species Library'!$A$6:$Z$150,COLUMN('Species Library'!K63),FALSE)), "",VLOOKUP($A67,'Species Library'!$A$6:$Z$150,COLUMN('Species Library'!K63),FALSE))</f>
        <v/>
      </c>
      <c r="M67" s="30" t="str">
        <f t="shared" si="1"/>
        <v/>
      </c>
      <c r="N67" s="30" t="str">
        <f>IF(ISNA(VLOOKUP($A67,'Species Library'!$A$6:$Z$150,COLUMN('Species Library'!L63),FALSE)), "",VLOOKUP($A67,'Species Library'!$A$6:$Z$150,COLUMN('Species Library'!L63),FALSE))</f>
        <v/>
      </c>
      <c r="O67" s="30" t="str">
        <f>IF(ISNA(VLOOKUP($A67,'Species Library'!$A$6:$Z$150,COLUMN('Species Library'!M63),FALSE)), "",VLOOKUP($A67,'Species Library'!$A$6:$Z$150,COLUMN('Species Library'!M63),FALSE))</f>
        <v/>
      </c>
      <c r="P67" s="30" t="str">
        <f>IF(ISNA(VLOOKUP($A67,'Species Library'!$A$6:$Z$150,COLUMN('Species Library'!N63),FALSE)), "",VLOOKUP($A67,'Species Library'!$A$6:$Z$150,COLUMN('Species Library'!N63),FALSE))</f>
        <v/>
      </c>
      <c r="Q67" s="30" t="str">
        <f t="shared" si="2"/>
        <v/>
      </c>
      <c r="R67" s="30" t="str">
        <f>IF(ISNA(VLOOKUP($A67,'Species Library'!$A$6:$Z$150,COLUMN('Species Library'!O63),FALSE)), "",VLOOKUP($A67,'Species Library'!$A$6:$Z$150,COLUMN('Species Library'!O63),FALSE))</f>
        <v/>
      </c>
      <c r="S67" s="30" t="str">
        <f>IF(ISNA(VLOOKUP($A67,'Species Library'!$A$6:$Z$150,COLUMN('Species Library'!P63),FALSE)), "",VLOOKUP($A67,'Species Library'!$A$6:$Z$150,COLUMN('Species Library'!P63),FALSE))</f>
        <v/>
      </c>
      <c r="T67" s="30" t="str">
        <f>IF(ISNA(VLOOKUP($A67,'Species Library'!$A$6:$Z$150,COLUMN('Species Library'!Q63),FALSE)), "",VLOOKUP($A67,'Species Library'!$A$6:$Z$150,COLUMN('Species Library'!Q63),FALSE))</f>
        <v/>
      </c>
      <c r="U67" s="30" t="str">
        <f>IF(ISNA(VLOOKUP($A67,'Species Library'!$A$6:$Z$150,COLUMN('Species Library'!R63),FALSE)), "",VLOOKUP($A67,'Species Library'!$A$6:$Z$150,COLUMN('Species Library'!R63),FALSE))</f>
        <v/>
      </c>
      <c r="V67" s="30" t="str">
        <f>IF(ISNA(VLOOKUP($A67,'Species Library'!$A$6:$Z$150,COLUMN('Species Library'!S63),FALSE)), "",VLOOKUP($A67,'Species Library'!$A$6:$Z$150,COLUMN('Species Library'!S63),FALSE))</f>
        <v/>
      </c>
      <c r="W67" s="30" t="str">
        <f>IF(ISNA(VLOOKUP($A67,'Species Library'!$A$6:$Z$150,COLUMN('Species Library'!T63),FALSE)), "",VLOOKUP($A67,'Species Library'!$A$6:$Z$150,COLUMN('Species Library'!T63),FALSE))</f>
        <v/>
      </c>
      <c r="X67" s="30" t="str">
        <f t="shared" si="3"/>
        <v/>
      </c>
      <c r="Y67" s="30" t="str">
        <f>IF(ISNA(VLOOKUP($A67,'Species Library'!$A$6:$Z$150,COLUMN('Species Library'!U63),FALSE)), "",VLOOKUP($A67,'Species Library'!$A$6:$Z$150,COLUMN('Species Library'!U63),FALSE))</f>
        <v/>
      </c>
      <c r="Z67" s="30" t="str">
        <f>IF(ISNA(VLOOKUP($A67,'Species Library'!$A$6:$Z$150,COLUMN('Species Library'!V63),FALSE)), "",VLOOKUP($A67,'Species Library'!$A$6:$Z$150,COLUMN('Species Library'!V63),FALSE))</f>
        <v/>
      </c>
      <c r="AA67" s="30" t="str">
        <f>IF(ISNA(VLOOKUP($A67,'Species Library'!$A$6:$Z$150,COLUMN('Species Library'!W63),FALSE)), "",VLOOKUP($A67,'Species Library'!$A$6:$Z$150,COLUMN('Species Library'!W63),FALSE))</f>
        <v/>
      </c>
      <c r="AB67" s="30" t="str">
        <f>IF(ISNA(VLOOKUP($A67,'Species Library'!$A$6:$Z$150,COLUMN('Species Library'!X63),FALSE)), "",VLOOKUP($A67,'Species Library'!$A$6:$Z$150,COLUMN('Species Library'!X63),FALSE))</f>
        <v/>
      </c>
      <c r="AC67" s="30" t="str">
        <f>IF(ISNA(VLOOKUP($A67,'Species Library'!$A$6:$Z$150,COLUMN('Species Library'!Y63),FALSE)), "",VLOOKUP($A67,'Species Library'!$A$6:$Z$150,COLUMN('Species Library'!Y63),FALSE))</f>
        <v/>
      </c>
      <c r="AD67" s="30" t="str">
        <f>IF(ISNA(VLOOKUP($A67,'Species Library'!$A$6:$Z$150,COLUMN('Species Library'!Z63),FALSE)), "",VLOOKUP($A67,'Species Library'!$A$6:$Z$150,COLUMN('Species Library'!Z63),FALSE))</f>
        <v/>
      </c>
    </row>
    <row r="68" spans="2:30" x14ac:dyDescent="0.4">
      <c r="B68" s="30" t="str">
        <f>IF(ISNA(VLOOKUP($A68,'Species Library'!$A$6:$Z$150,COLUMN('Species Library'!B64),FALSE)), "",VLOOKUP($A68,'Species Library'!$A$6:$Z$150,COLUMN('Species Library'!B64),FALSE))</f>
        <v/>
      </c>
      <c r="C68" s="30" t="str">
        <f>IF(ISNA(VLOOKUP($A68,'Species Library'!$A$6:$Z$150,COLUMN('Species Library'!C64),FALSE)), "",VLOOKUP($A68,'Species Library'!$A$6:$Z$150,COLUMN('Species Library'!C64),FALSE))</f>
        <v/>
      </c>
      <c r="D68" s="30" t="str">
        <f>IF(ISNA(VLOOKUP($A68,'Species Library'!$A$6:$Z$150,COLUMN('Species Library'!D64),FALSE)), "",VLOOKUP($A68,'Species Library'!$A$6:$Z$150,COLUMN('Species Library'!D64),FALSE))</f>
        <v/>
      </c>
      <c r="E68" s="30" t="str">
        <f>IF(ISNA(VLOOKUP($A68,'Species Library'!$A$6:$Z$150,COLUMN('Species Library'!E64),FALSE)), "",VLOOKUP($A68,'Species Library'!$A$6:$Z$150,COLUMN('Species Library'!E64),FALSE))</f>
        <v/>
      </c>
      <c r="F68" s="30" t="str">
        <f>IF(ISNA(VLOOKUP($A68,'Species Library'!$A$6:$Z$150,COLUMN('Species Library'!F64),FALSE)), "",VLOOKUP($A68,'Species Library'!$A$6:$Z$150,COLUMN('Species Library'!F64),FALSE))</f>
        <v/>
      </c>
      <c r="G68" s="30" t="str">
        <f t="shared" si="0"/>
        <v/>
      </c>
      <c r="H68" s="30" t="str">
        <f>IF(ISNA(VLOOKUP($A68,'Species Library'!$A$6:$Z$150,COLUMN('Species Library'!G64),FALSE)), "",VLOOKUP($A68,'Species Library'!$A$6:$Z$150,COLUMN('Species Library'!G64),FALSE))</f>
        <v/>
      </c>
      <c r="I68" s="30" t="str">
        <f>IF(ISNA(VLOOKUP($A68,'Species Library'!$A$6:$Z$150,COLUMN('Species Library'!H64),FALSE)), "",VLOOKUP($A68,'Species Library'!$A$6:$Z$150,COLUMN('Species Library'!H64),FALSE))</f>
        <v/>
      </c>
      <c r="J68" s="30" t="str">
        <f>IF(ISNA(VLOOKUP($A68,'Species Library'!$A$6:$Z$150,COLUMN('Species Library'!I64),FALSE)), "",VLOOKUP($A68,'Species Library'!$A$6:$Z$150,COLUMN('Species Library'!I64),FALSE))</f>
        <v/>
      </c>
      <c r="K68" s="30" t="str">
        <f>IF(ISNA(VLOOKUP($A68,'Species Library'!$A$6:$Z$150,COLUMN('Species Library'!J64),FALSE)), "",VLOOKUP($A68,'Species Library'!$A$6:$Z$150,COLUMN('Species Library'!J64),FALSE))</f>
        <v/>
      </c>
      <c r="L68" s="30" t="str">
        <f>IF(ISNA(VLOOKUP($A68,'Species Library'!$A$6:$Z$150,COLUMN('Species Library'!K64),FALSE)), "",VLOOKUP($A68,'Species Library'!$A$6:$Z$150,COLUMN('Species Library'!K64),FALSE))</f>
        <v/>
      </c>
      <c r="M68" s="30" t="str">
        <f t="shared" si="1"/>
        <v/>
      </c>
      <c r="N68" s="30" t="str">
        <f>IF(ISNA(VLOOKUP($A68,'Species Library'!$A$6:$Z$150,COLUMN('Species Library'!L64),FALSE)), "",VLOOKUP($A68,'Species Library'!$A$6:$Z$150,COLUMN('Species Library'!L64),FALSE))</f>
        <v/>
      </c>
      <c r="O68" s="30" t="str">
        <f>IF(ISNA(VLOOKUP($A68,'Species Library'!$A$6:$Z$150,COLUMN('Species Library'!M64),FALSE)), "",VLOOKUP($A68,'Species Library'!$A$6:$Z$150,COLUMN('Species Library'!M64),FALSE))</f>
        <v/>
      </c>
      <c r="P68" s="30" t="str">
        <f>IF(ISNA(VLOOKUP($A68,'Species Library'!$A$6:$Z$150,COLUMN('Species Library'!N64),FALSE)), "",VLOOKUP($A68,'Species Library'!$A$6:$Z$150,COLUMN('Species Library'!N64),FALSE))</f>
        <v/>
      </c>
      <c r="Q68" s="30" t="str">
        <f t="shared" si="2"/>
        <v/>
      </c>
      <c r="R68" s="30" t="str">
        <f>IF(ISNA(VLOOKUP($A68,'Species Library'!$A$6:$Z$150,COLUMN('Species Library'!O64),FALSE)), "",VLOOKUP($A68,'Species Library'!$A$6:$Z$150,COLUMN('Species Library'!O64),FALSE))</f>
        <v/>
      </c>
      <c r="S68" s="30" t="str">
        <f>IF(ISNA(VLOOKUP($A68,'Species Library'!$A$6:$Z$150,COLUMN('Species Library'!P64),FALSE)), "",VLOOKUP($A68,'Species Library'!$A$6:$Z$150,COLUMN('Species Library'!P64),FALSE))</f>
        <v/>
      </c>
      <c r="T68" s="30" t="str">
        <f>IF(ISNA(VLOOKUP($A68,'Species Library'!$A$6:$Z$150,COLUMN('Species Library'!Q64),FALSE)), "",VLOOKUP($A68,'Species Library'!$A$6:$Z$150,COLUMN('Species Library'!Q64),FALSE))</f>
        <v/>
      </c>
      <c r="U68" s="30" t="str">
        <f>IF(ISNA(VLOOKUP($A68,'Species Library'!$A$6:$Z$150,COLUMN('Species Library'!R64),FALSE)), "",VLOOKUP($A68,'Species Library'!$A$6:$Z$150,COLUMN('Species Library'!R64),FALSE))</f>
        <v/>
      </c>
      <c r="V68" s="30" t="str">
        <f>IF(ISNA(VLOOKUP($A68,'Species Library'!$A$6:$Z$150,COLUMN('Species Library'!S64),FALSE)), "",VLOOKUP($A68,'Species Library'!$A$6:$Z$150,COLUMN('Species Library'!S64),FALSE))</f>
        <v/>
      </c>
      <c r="W68" s="30" t="str">
        <f>IF(ISNA(VLOOKUP($A68,'Species Library'!$A$6:$Z$150,COLUMN('Species Library'!T64),FALSE)), "",VLOOKUP($A68,'Species Library'!$A$6:$Z$150,COLUMN('Species Library'!T64),FALSE))</f>
        <v/>
      </c>
      <c r="X68" s="30" t="str">
        <f t="shared" si="3"/>
        <v/>
      </c>
      <c r="Y68" s="30" t="str">
        <f>IF(ISNA(VLOOKUP($A68,'Species Library'!$A$6:$Z$150,COLUMN('Species Library'!U64),FALSE)), "",VLOOKUP($A68,'Species Library'!$A$6:$Z$150,COLUMN('Species Library'!U64),FALSE))</f>
        <v/>
      </c>
      <c r="Z68" s="30" t="str">
        <f>IF(ISNA(VLOOKUP($A68,'Species Library'!$A$6:$Z$150,COLUMN('Species Library'!V64),FALSE)), "",VLOOKUP($A68,'Species Library'!$A$6:$Z$150,COLUMN('Species Library'!V64),FALSE))</f>
        <v/>
      </c>
      <c r="AA68" s="30" t="str">
        <f>IF(ISNA(VLOOKUP($A68,'Species Library'!$A$6:$Z$150,COLUMN('Species Library'!W64),FALSE)), "",VLOOKUP($A68,'Species Library'!$A$6:$Z$150,COLUMN('Species Library'!W64),FALSE))</f>
        <v/>
      </c>
      <c r="AB68" s="30" t="str">
        <f>IF(ISNA(VLOOKUP($A68,'Species Library'!$A$6:$Z$150,COLUMN('Species Library'!X64),FALSE)), "",VLOOKUP($A68,'Species Library'!$A$6:$Z$150,COLUMN('Species Library'!X64),FALSE))</f>
        <v/>
      </c>
      <c r="AC68" s="30" t="str">
        <f>IF(ISNA(VLOOKUP($A68,'Species Library'!$A$6:$Z$150,COLUMN('Species Library'!Y64),FALSE)), "",VLOOKUP($A68,'Species Library'!$A$6:$Z$150,COLUMN('Species Library'!Y64),FALSE))</f>
        <v/>
      </c>
      <c r="AD68" s="30" t="str">
        <f>IF(ISNA(VLOOKUP($A68,'Species Library'!$A$6:$Z$150,COLUMN('Species Library'!Z64),FALSE)), "",VLOOKUP($A68,'Species Library'!$A$6:$Z$150,COLUMN('Species Library'!Z64),FALSE))</f>
        <v/>
      </c>
    </row>
    <row r="69" spans="2:30" x14ac:dyDescent="0.4">
      <c r="B69" s="30" t="str">
        <f>IF(ISNA(VLOOKUP($A69,'Species Library'!$A$6:$Z$150,COLUMN('Species Library'!B65),FALSE)), "",VLOOKUP($A69,'Species Library'!$A$6:$Z$150,COLUMN('Species Library'!B65),FALSE))</f>
        <v/>
      </c>
      <c r="C69" s="30" t="str">
        <f>IF(ISNA(VLOOKUP($A69,'Species Library'!$A$6:$Z$150,COLUMN('Species Library'!C65),FALSE)), "",VLOOKUP($A69,'Species Library'!$A$6:$Z$150,COLUMN('Species Library'!C65),FALSE))</f>
        <v/>
      </c>
      <c r="D69" s="30" t="str">
        <f>IF(ISNA(VLOOKUP($A69,'Species Library'!$A$6:$Z$150,COLUMN('Species Library'!D65),FALSE)), "",VLOOKUP($A69,'Species Library'!$A$6:$Z$150,COLUMN('Species Library'!D65),FALSE))</f>
        <v/>
      </c>
      <c r="E69" s="30" t="str">
        <f>IF(ISNA(VLOOKUP($A69,'Species Library'!$A$6:$Z$150,COLUMN('Species Library'!E65),FALSE)), "",VLOOKUP($A69,'Species Library'!$A$6:$Z$150,COLUMN('Species Library'!E65),FALSE))</f>
        <v/>
      </c>
      <c r="F69" s="30" t="str">
        <f>IF(ISNA(VLOOKUP($A69,'Species Library'!$A$6:$Z$150,COLUMN('Species Library'!F65),FALSE)), "",VLOOKUP($A69,'Species Library'!$A$6:$Z$150,COLUMN('Species Library'!F65),FALSE))</f>
        <v/>
      </c>
      <c r="G69" s="30" t="str">
        <f t="shared" si="0"/>
        <v/>
      </c>
      <c r="H69" s="30" t="str">
        <f>IF(ISNA(VLOOKUP($A69,'Species Library'!$A$6:$Z$150,COLUMN('Species Library'!G65),FALSE)), "",VLOOKUP($A69,'Species Library'!$A$6:$Z$150,COLUMN('Species Library'!G65),FALSE))</f>
        <v/>
      </c>
      <c r="I69" s="30" t="str">
        <f>IF(ISNA(VLOOKUP($A69,'Species Library'!$A$6:$Z$150,COLUMN('Species Library'!H65),FALSE)), "",VLOOKUP($A69,'Species Library'!$A$6:$Z$150,COLUMN('Species Library'!H65),FALSE))</f>
        <v/>
      </c>
      <c r="J69" s="30" t="str">
        <f>IF(ISNA(VLOOKUP($A69,'Species Library'!$A$6:$Z$150,COLUMN('Species Library'!I65),FALSE)), "",VLOOKUP($A69,'Species Library'!$A$6:$Z$150,COLUMN('Species Library'!I65),FALSE))</f>
        <v/>
      </c>
      <c r="K69" s="30" t="str">
        <f>IF(ISNA(VLOOKUP($A69,'Species Library'!$A$6:$Z$150,COLUMN('Species Library'!J65),FALSE)), "",VLOOKUP($A69,'Species Library'!$A$6:$Z$150,COLUMN('Species Library'!J65),FALSE))</f>
        <v/>
      </c>
      <c r="L69" s="30" t="str">
        <f>IF(ISNA(VLOOKUP($A69,'Species Library'!$A$6:$Z$150,COLUMN('Species Library'!K65),FALSE)), "",VLOOKUP($A69,'Species Library'!$A$6:$Z$150,COLUMN('Species Library'!K65),FALSE))</f>
        <v/>
      </c>
      <c r="M69" s="30" t="str">
        <f t="shared" si="1"/>
        <v/>
      </c>
      <c r="N69" s="30" t="str">
        <f>IF(ISNA(VLOOKUP($A69,'Species Library'!$A$6:$Z$150,COLUMN('Species Library'!L65),FALSE)), "",VLOOKUP($A69,'Species Library'!$A$6:$Z$150,COLUMN('Species Library'!L65),FALSE))</f>
        <v/>
      </c>
      <c r="O69" s="30" t="str">
        <f>IF(ISNA(VLOOKUP($A69,'Species Library'!$A$6:$Z$150,COLUMN('Species Library'!M65),FALSE)), "",VLOOKUP($A69,'Species Library'!$A$6:$Z$150,COLUMN('Species Library'!M65),FALSE))</f>
        <v/>
      </c>
      <c r="P69" s="30" t="str">
        <f>IF(ISNA(VLOOKUP($A69,'Species Library'!$A$6:$Z$150,COLUMN('Species Library'!N65),FALSE)), "",VLOOKUP($A69,'Species Library'!$A$6:$Z$150,COLUMN('Species Library'!N65),FALSE))</f>
        <v/>
      </c>
      <c r="Q69" s="30" t="str">
        <f t="shared" si="2"/>
        <v/>
      </c>
      <c r="R69" s="30" t="str">
        <f>IF(ISNA(VLOOKUP($A69,'Species Library'!$A$6:$Z$150,COLUMN('Species Library'!O65),FALSE)), "",VLOOKUP($A69,'Species Library'!$A$6:$Z$150,COLUMN('Species Library'!O65),FALSE))</f>
        <v/>
      </c>
      <c r="S69" s="30" t="str">
        <f>IF(ISNA(VLOOKUP($A69,'Species Library'!$A$6:$Z$150,COLUMN('Species Library'!P65),FALSE)), "",VLOOKUP($A69,'Species Library'!$A$6:$Z$150,COLUMN('Species Library'!P65),FALSE))</f>
        <v/>
      </c>
      <c r="T69" s="30" t="str">
        <f>IF(ISNA(VLOOKUP($A69,'Species Library'!$A$6:$Z$150,COLUMN('Species Library'!Q65),FALSE)), "",VLOOKUP($A69,'Species Library'!$A$6:$Z$150,COLUMN('Species Library'!Q65),FALSE))</f>
        <v/>
      </c>
      <c r="U69" s="30" t="str">
        <f>IF(ISNA(VLOOKUP($A69,'Species Library'!$A$6:$Z$150,COLUMN('Species Library'!R65),FALSE)), "",VLOOKUP($A69,'Species Library'!$A$6:$Z$150,COLUMN('Species Library'!R65),FALSE))</f>
        <v/>
      </c>
      <c r="V69" s="30" t="str">
        <f>IF(ISNA(VLOOKUP($A69,'Species Library'!$A$6:$Z$150,COLUMN('Species Library'!S65),FALSE)), "",VLOOKUP($A69,'Species Library'!$A$6:$Z$150,COLUMN('Species Library'!S65),FALSE))</f>
        <v/>
      </c>
      <c r="W69" s="30" t="str">
        <f>IF(ISNA(VLOOKUP($A69,'Species Library'!$A$6:$Z$150,COLUMN('Species Library'!T65),FALSE)), "",VLOOKUP($A69,'Species Library'!$A$6:$Z$150,COLUMN('Species Library'!T65),FALSE))</f>
        <v/>
      </c>
      <c r="X69" s="30" t="str">
        <f t="shared" si="3"/>
        <v/>
      </c>
      <c r="Y69" s="30" t="str">
        <f>IF(ISNA(VLOOKUP($A69,'Species Library'!$A$6:$Z$150,COLUMN('Species Library'!U65),FALSE)), "",VLOOKUP($A69,'Species Library'!$A$6:$Z$150,COLUMN('Species Library'!U65),FALSE))</f>
        <v/>
      </c>
      <c r="Z69" s="30" t="str">
        <f>IF(ISNA(VLOOKUP($A69,'Species Library'!$A$6:$Z$150,COLUMN('Species Library'!V65),FALSE)), "",VLOOKUP($A69,'Species Library'!$A$6:$Z$150,COLUMN('Species Library'!V65),FALSE))</f>
        <v/>
      </c>
      <c r="AA69" s="30" t="str">
        <f>IF(ISNA(VLOOKUP($A69,'Species Library'!$A$6:$Z$150,COLUMN('Species Library'!W65),FALSE)), "",VLOOKUP($A69,'Species Library'!$A$6:$Z$150,COLUMN('Species Library'!W65),FALSE))</f>
        <v/>
      </c>
      <c r="AB69" s="30" t="str">
        <f>IF(ISNA(VLOOKUP($A69,'Species Library'!$A$6:$Z$150,COLUMN('Species Library'!X65),FALSE)), "",VLOOKUP($A69,'Species Library'!$A$6:$Z$150,COLUMN('Species Library'!X65),FALSE))</f>
        <v/>
      </c>
      <c r="AC69" s="30" t="str">
        <f>IF(ISNA(VLOOKUP($A69,'Species Library'!$A$6:$Z$150,COLUMN('Species Library'!Y65),FALSE)), "",VLOOKUP($A69,'Species Library'!$A$6:$Z$150,COLUMN('Species Library'!Y65),FALSE))</f>
        <v/>
      </c>
      <c r="AD69" s="30" t="str">
        <f>IF(ISNA(VLOOKUP($A69,'Species Library'!$A$6:$Z$150,COLUMN('Species Library'!Z65),FALSE)), "",VLOOKUP($A69,'Species Library'!$A$6:$Z$150,COLUMN('Species Library'!Z65),FALSE))</f>
        <v/>
      </c>
    </row>
    <row r="70" spans="2:30" x14ac:dyDescent="0.4">
      <c r="B70" s="30" t="str">
        <f>IF(ISNA(VLOOKUP($A70,'Species Library'!$A$6:$Z$150,COLUMN('Species Library'!B66),FALSE)), "",VLOOKUP($A70,'Species Library'!$A$6:$Z$150,COLUMN('Species Library'!B66),FALSE))</f>
        <v/>
      </c>
      <c r="C70" s="30" t="str">
        <f>IF(ISNA(VLOOKUP($A70,'Species Library'!$A$6:$Z$150,COLUMN('Species Library'!C66),FALSE)), "",VLOOKUP($A70,'Species Library'!$A$6:$Z$150,COLUMN('Species Library'!C66),FALSE))</f>
        <v/>
      </c>
      <c r="D70" s="30" t="str">
        <f>IF(ISNA(VLOOKUP($A70,'Species Library'!$A$6:$Z$150,COLUMN('Species Library'!D66),FALSE)), "",VLOOKUP($A70,'Species Library'!$A$6:$Z$150,COLUMN('Species Library'!D66),FALSE))</f>
        <v/>
      </c>
      <c r="E70" s="30" t="str">
        <f>IF(ISNA(VLOOKUP($A70,'Species Library'!$A$6:$Z$150,COLUMN('Species Library'!E66),FALSE)), "",VLOOKUP($A70,'Species Library'!$A$6:$Z$150,COLUMN('Species Library'!E66),FALSE))</f>
        <v/>
      </c>
      <c r="F70" s="30" t="str">
        <f>IF(ISNA(VLOOKUP($A70,'Species Library'!$A$6:$Z$150,COLUMN('Species Library'!F66),FALSE)), "",VLOOKUP($A70,'Species Library'!$A$6:$Z$150,COLUMN('Species Library'!F66),FALSE))</f>
        <v/>
      </c>
      <c r="G70" s="30" t="str">
        <f t="shared" si="0"/>
        <v/>
      </c>
      <c r="H70" s="30" t="str">
        <f>IF(ISNA(VLOOKUP($A70,'Species Library'!$A$6:$Z$150,COLUMN('Species Library'!G66),FALSE)), "",VLOOKUP($A70,'Species Library'!$A$6:$Z$150,COLUMN('Species Library'!G66),FALSE))</f>
        <v/>
      </c>
      <c r="I70" s="30" t="str">
        <f>IF(ISNA(VLOOKUP($A70,'Species Library'!$A$6:$Z$150,COLUMN('Species Library'!H66),FALSE)), "",VLOOKUP($A70,'Species Library'!$A$6:$Z$150,COLUMN('Species Library'!H66),FALSE))</f>
        <v/>
      </c>
      <c r="J70" s="30" t="str">
        <f>IF(ISNA(VLOOKUP($A70,'Species Library'!$A$6:$Z$150,COLUMN('Species Library'!I66),FALSE)), "",VLOOKUP($A70,'Species Library'!$A$6:$Z$150,COLUMN('Species Library'!I66),FALSE))</f>
        <v/>
      </c>
      <c r="K70" s="30" t="str">
        <f>IF(ISNA(VLOOKUP($A70,'Species Library'!$A$6:$Z$150,COLUMN('Species Library'!J66),FALSE)), "",VLOOKUP($A70,'Species Library'!$A$6:$Z$150,COLUMN('Species Library'!J66),FALSE))</f>
        <v/>
      </c>
      <c r="L70" s="30" t="str">
        <f>IF(ISNA(VLOOKUP($A70,'Species Library'!$A$6:$Z$150,COLUMN('Species Library'!K66),FALSE)), "",VLOOKUP($A70,'Species Library'!$A$6:$Z$150,COLUMN('Species Library'!K66),FALSE))</f>
        <v/>
      </c>
      <c r="M70" s="30" t="str">
        <f t="shared" si="1"/>
        <v/>
      </c>
      <c r="N70" s="30" t="str">
        <f>IF(ISNA(VLOOKUP($A70,'Species Library'!$A$6:$Z$150,COLUMN('Species Library'!L66),FALSE)), "",VLOOKUP($A70,'Species Library'!$A$6:$Z$150,COLUMN('Species Library'!L66),FALSE))</f>
        <v/>
      </c>
      <c r="O70" s="30" t="str">
        <f>IF(ISNA(VLOOKUP($A70,'Species Library'!$A$6:$Z$150,COLUMN('Species Library'!M66),FALSE)), "",VLOOKUP($A70,'Species Library'!$A$6:$Z$150,COLUMN('Species Library'!M66),FALSE))</f>
        <v/>
      </c>
      <c r="P70" s="30" t="str">
        <f>IF(ISNA(VLOOKUP($A70,'Species Library'!$A$6:$Z$150,COLUMN('Species Library'!N66),FALSE)), "",VLOOKUP($A70,'Species Library'!$A$6:$Z$150,COLUMN('Species Library'!N66),FALSE))</f>
        <v/>
      </c>
      <c r="Q70" s="30" t="str">
        <f t="shared" si="2"/>
        <v/>
      </c>
      <c r="R70" s="30" t="str">
        <f>IF(ISNA(VLOOKUP($A70,'Species Library'!$A$6:$Z$150,COLUMN('Species Library'!O66),FALSE)), "",VLOOKUP($A70,'Species Library'!$A$6:$Z$150,COLUMN('Species Library'!O66),FALSE))</f>
        <v/>
      </c>
      <c r="S70" s="30" t="str">
        <f>IF(ISNA(VLOOKUP($A70,'Species Library'!$A$6:$Z$150,COLUMN('Species Library'!P66),FALSE)), "",VLOOKUP($A70,'Species Library'!$A$6:$Z$150,COLUMN('Species Library'!P66),FALSE))</f>
        <v/>
      </c>
      <c r="T70" s="30" t="str">
        <f>IF(ISNA(VLOOKUP($A70,'Species Library'!$A$6:$Z$150,COLUMN('Species Library'!Q66),FALSE)), "",VLOOKUP($A70,'Species Library'!$A$6:$Z$150,COLUMN('Species Library'!Q66),FALSE))</f>
        <v/>
      </c>
      <c r="U70" s="30" t="str">
        <f>IF(ISNA(VLOOKUP($A70,'Species Library'!$A$6:$Z$150,COLUMN('Species Library'!R66),FALSE)), "",VLOOKUP($A70,'Species Library'!$A$6:$Z$150,COLUMN('Species Library'!R66),FALSE))</f>
        <v/>
      </c>
      <c r="V70" s="30" t="str">
        <f>IF(ISNA(VLOOKUP($A70,'Species Library'!$A$6:$Z$150,COLUMN('Species Library'!S66),FALSE)), "",VLOOKUP($A70,'Species Library'!$A$6:$Z$150,COLUMN('Species Library'!S66),FALSE))</f>
        <v/>
      </c>
      <c r="W70" s="30" t="str">
        <f>IF(ISNA(VLOOKUP($A70,'Species Library'!$A$6:$Z$150,COLUMN('Species Library'!T66),FALSE)), "",VLOOKUP($A70,'Species Library'!$A$6:$Z$150,COLUMN('Species Library'!T66),FALSE))</f>
        <v/>
      </c>
      <c r="X70" s="30" t="str">
        <f t="shared" si="3"/>
        <v/>
      </c>
      <c r="Y70" s="30" t="str">
        <f>IF(ISNA(VLOOKUP($A70,'Species Library'!$A$6:$Z$150,COLUMN('Species Library'!U66),FALSE)), "",VLOOKUP($A70,'Species Library'!$A$6:$Z$150,COLUMN('Species Library'!U66),FALSE))</f>
        <v/>
      </c>
      <c r="Z70" s="30" t="str">
        <f>IF(ISNA(VLOOKUP($A70,'Species Library'!$A$6:$Z$150,COLUMN('Species Library'!V66),FALSE)), "",VLOOKUP($A70,'Species Library'!$A$6:$Z$150,COLUMN('Species Library'!V66),FALSE))</f>
        <v/>
      </c>
      <c r="AA70" s="30" t="str">
        <f>IF(ISNA(VLOOKUP($A70,'Species Library'!$A$6:$Z$150,COLUMN('Species Library'!W66),FALSE)), "",VLOOKUP($A70,'Species Library'!$A$6:$Z$150,COLUMN('Species Library'!W66),FALSE))</f>
        <v/>
      </c>
      <c r="AB70" s="30" t="str">
        <f>IF(ISNA(VLOOKUP($A70,'Species Library'!$A$6:$Z$150,COLUMN('Species Library'!X66),FALSE)), "",VLOOKUP($A70,'Species Library'!$A$6:$Z$150,COLUMN('Species Library'!X66),FALSE))</f>
        <v/>
      </c>
      <c r="AC70" s="30" t="str">
        <f>IF(ISNA(VLOOKUP($A70,'Species Library'!$A$6:$Z$150,COLUMN('Species Library'!Y66),FALSE)), "",VLOOKUP($A70,'Species Library'!$A$6:$Z$150,COLUMN('Species Library'!Y66),FALSE))</f>
        <v/>
      </c>
      <c r="AD70" s="30" t="str">
        <f>IF(ISNA(VLOOKUP($A70,'Species Library'!$A$6:$Z$150,COLUMN('Species Library'!Z66),FALSE)), "",VLOOKUP($A70,'Species Library'!$A$6:$Z$150,COLUMN('Species Library'!Z66),FALSE))</f>
        <v/>
      </c>
    </row>
    <row r="71" spans="2:30" x14ac:dyDescent="0.4">
      <c r="B71" s="30" t="str">
        <f>IF(ISNA(VLOOKUP($A71,'Species Library'!$A$6:$Z$150,COLUMN('Species Library'!B67),FALSE)), "",VLOOKUP($A71,'Species Library'!$A$6:$Z$150,COLUMN('Species Library'!B67),FALSE))</f>
        <v/>
      </c>
      <c r="C71" s="30" t="str">
        <f>IF(ISNA(VLOOKUP($A71,'Species Library'!$A$6:$Z$150,COLUMN('Species Library'!C67),FALSE)), "",VLOOKUP($A71,'Species Library'!$A$6:$Z$150,COLUMN('Species Library'!C67),FALSE))</f>
        <v/>
      </c>
      <c r="D71" s="30" t="str">
        <f>IF(ISNA(VLOOKUP($A71,'Species Library'!$A$6:$Z$150,COLUMN('Species Library'!D67),FALSE)), "",VLOOKUP($A71,'Species Library'!$A$6:$Z$150,COLUMN('Species Library'!D67),FALSE))</f>
        <v/>
      </c>
      <c r="E71" s="30" t="str">
        <f>IF(ISNA(VLOOKUP($A71,'Species Library'!$A$6:$Z$150,COLUMN('Species Library'!E67),FALSE)), "",VLOOKUP($A71,'Species Library'!$A$6:$Z$150,COLUMN('Species Library'!E67),FALSE))</f>
        <v/>
      </c>
      <c r="F71" s="30" t="str">
        <f>IF(ISNA(VLOOKUP($A71,'Species Library'!$A$6:$Z$150,COLUMN('Species Library'!F67),FALSE)), "",VLOOKUP($A71,'Species Library'!$A$6:$Z$150,COLUMN('Species Library'!F67),FALSE))</f>
        <v/>
      </c>
      <c r="G71" s="30" t="str">
        <f t="shared" si="0"/>
        <v/>
      </c>
      <c r="H71" s="30" t="str">
        <f>IF(ISNA(VLOOKUP($A71,'Species Library'!$A$6:$Z$150,COLUMN('Species Library'!G67),FALSE)), "",VLOOKUP($A71,'Species Library'!$A$6:$Z$150,COLUMN('Species Library'!G67),FALSE))</f>
        <v/>
      </c>
      <c r="I71" s="30" t="str">
        <f>IF(ISNA(VLOOKUP($A71,'Species Library'!$A$6:$Z$150,COLUMN('Species Library'!H67),FALSE)), "",VLOOKUP($A71,'Species Library'!$A$6:$Z$150,COLUMN('Species Library'!H67),FALSE))</f>
        <v/>
      </c>
      <c r="J71" s="30" t="str">
        <f>IF(ISNA(VLOOKUP($A71,'Species Library'!$A$6:$Z$150,COLUMN('Species Library'!I67),FALSE)), "",VLOOKUP($A71,'Species Library'!$A$6:$Z$150,COLUMN('Species Library'!I67),FALSE))</f>
        <v/>
      </c>
      <c r="K71" s="30" t="str">
        <f>IF(ISNA(VLOOKUP($A71,'Species Library'!$A$6:$Z$150,COLUMN('Species Library'!J67),FALSE)), "",VLOOKUP($A71,'Species Library'!$A$6:$Z$150,COLUMN('Species Library'!J67),FALSE))</f>
        <v/>
      </c>
      <c r="L71" s="30" t="str">
        <f>IF(ISNA(VLOOKUP($A71,'Species Library'!$A$6:$Z$150,COLUMN('Species Library'!K67),FALSE)), "",VLOOKUP($A71,'Species Library'!$A$6:$Z$150,COLUMN('Species Library'!K67),FALSE))</f>
        <v/>
      </c>
      <c r="M71" s="30" t="str">
        <f t="shared" si="1"/>
        <v/>
      </c>
      <c r="N71" s="30" t="str">
        <f>IF(ISNA(VLOOKUP($A71,'Species Library'!$A$6:$Z$150,COLUMN('Species Library'!L67),FALSE)), "",VLOOKUP($A71,'Species Library'!$A$6:$Z$150,COLUMN('Species Library'!L67),FALSE))</f>
        <v/>
      </c>
      <c r="O71" s="30" t="str">
        <f>IF(ISNA(VLOOKUP($A71,'Species Library'!$A$6:$Z$150,COLUMN('Species Library'!M67),FALSE)), "",VLOOKUP($A71,'Species Library'!$A$6:$Z$150,COLUMN('Species Library'!M67),FALSE))</f>
        <v/>
      </c>
      <c r="P71" s="30" t="str">
        <f>IF(ISNA(VLOOKUP($A71,'Species Library'!$A$6:$Z$150,COLUMN('Species Library'!N67),FALSE)), "",VLOOKUP($A71,'Species Library'!$A$6:$Z$150,COLUMN('Species Library'!N67),FALSE))</f>
        <v/>
      </c>
      <c r="Q71" s="30" t="str">
        <f t="shared" si="2"/>
        <v/>
      </c>
      <c r="R71" s="30" t="str">
        <f>IF(ISNA(VLOOKUP($A71,'Species Library'!$A$6:$Z$150,COLUMN('Species Library'!O67),FALSE)), "",VLOOKUP($A71,'Species Library'!$A$6:$Z$150,COLUMN('Species Library'!O67),FALSE))</f>
        <v/>
      </c>
      <c r="S71" s="30" t="str">
        <f>IF(ISNA(VLOOKUP($A71,'Species Library'!$A$6:$Z$150,COLUMN('Species Library'!P67),FALSE)), "",VLOOKUP($A71,'Species Library'!$A$6:$Z$150,COLUMN('Species Library'!P67),FALSE))</f>
        <v/>
      </c>
      <c r="T71" s="30" t="str">
        <f>IF(ISNA(VLOOKUP($A71,'Species Library'!$A$6:$Z$150,COLUMN('Species Library'!Q67),FALSE)), "",VLOOKUP($A71,'Species Library'!$A$6:$Z$150,COLUMN('Species Library'!Q67),FALSE))</f>
        <v/>
      </c>
      <c r="U71" s="30" t="str">
        <f>IF(ISNA(VLOOKUP($A71,'Species Library'!$A$6:$Z$150,COLUMN('Species Library'!R67),FALSE)), "",VLOOKUP($A71,'Species Library'!$A$6:$Z$150,COLUMN('Species Library'!R67),FALSE))</f>
        <v/>
      </c>
      <c r="V71" s="30" t="str">
        <f>IF(ISNA(VLOOKUP($A71,'Species Library'!$A$6:$Z$150,COLUMN('Species Library'!S67),FALSE)), "",VLOOKUP($A71,'Species Library'!$A$6:$Z$150,COLUMN('Species Library'!S67),FALSE))</f>
        <v/>
      </c>
      <c r="W71" s="30" t="str">
        <f>IF(ISNA(VLOOKUP($A71,'Species Library'!$A$6:$Z$150,COLUMN('Species Library'!T67),FALSE)), "",VLOOKUP($A71,'Species Library'!$A$6:$Z$150,COLUMN('Species Library'!T67),FALSE))</f>
        <v/>
      </c>
      <c r="X71" s="30" t="str">
        <f t="shared" si="3"/>
        <v/>
      </c>
      <c r="Y71" s="30" t="str">
        <f>IF(ISNA(VLOOKUP($A71,'Species Library'!$A$6:$Z$150,COLUMN('Species Library'!U67),FALSE)), "",VLOOKUP($A71,'Species Library'!$A$6:$Z$150,COLUMN('Species Library'!U67),FALSE))</f>
        <v/>
      </c>
      <c r="Z71" s="30" t="str">
        <f>IF(ISNA(VLOOKUP($A71,'Species Library'!$A$6:$Z$150,COLUMN('Species Library'!V67),FALSE)), "",VLOOKUP($A71,'Species Library'!$A$6:$Z$150,COLUMN('Species Library'!V67),FALSE))</f>
        <v/>
      </c>
      <c r="AA71" s="30" t="str">
        <f>IF(ISNA(VLOOKUP($A71,'Species Library'!$A$6:$Z$150,COLUMN('Species Library'!W67),FALSE)), "",VLOOKUP($A71,'Species Library'!$A$6:$Z$150,COLUMN('Species Library'!W67),FALSE))</f>
        <v/>
      </c>
      <c r="AB71" s="30" t="str">
        <f>IF(ISNA(VLOOKUP($A71,'Species Library'!$A$6:$Z$150,COLUMN('Species Library'!X67),FALSE)), "",VLOOKUP($A71,'Species Library'!$A$6:$Z$150,COLUMN('Species Library'!X67),FALSE))</f>
        <v/>
      </c>
      <c r="AC71" s="30" t="str">
        <f>IF(ISNA(VLOOKUP($A71,'Species Library'!$A$6:$Z$150,COLUMN('Species Library'!Y67),FALSE)), "",VLOOKUP($A71,'Species Library'!$A$6:$Z$150,COLUMN('Species Library'!Y67),FALSE))</f>
        <v/>
      </c>
      <c r="AD71" s="30" t="str">
        <f>IF(ISNA(VLOOKUP($A71,'Species Library'!$A$6:$Z$150,COLUMN('Species Library'!Z67),FALSE)), "",VLOOKUP($A71,'Species Library'!$A$6:$Z$150,COLUMN('Species Library'!Z67),FALSE))</f>
        <v/>
      </c>
    </row>
    <row r="72" spans="2:30" x14ac:dyDescent="0.4">
      <c r="B72" s="30" t="str">
        <f>IF(ISNA(VLOOKUP($A72,'Species Library'!$A$6:$Z$150,COLUMN('Species Library'!B68),FALSE)), "",VLOOKUP($A72,'Species Library'!$A$6:$Z$150,COLUMN('Species Library'!B68),FALSE))</f>
        <v/>
      </c>
      <c r="C72" s="30" t="str">
        <f>IF(ISNA(VLOOKUP($A72,'Species Library'!$A$6:$Z$150,COLUMN('Species Library'!C68),FALSE)), "",VLOOKUP($A72,'Species Library'!$A$6:$Z$150,COLUMN('Species Library'!C68),FALSE))</f>
        <v/>
      </c>
      <c r="D72" s="30" t="str">
        <f>IF(ISNA(VLOOKUP($A72,'Species Library'!$A$6:$Z$150,COLUMN('Species Library'!D68),FALSE)), "",VLOOKUP($A72,'Species Library'!$A$6:$Z$150,COLUMN('Species Library'!D68),FALSE))</f>
        <v/>
      </c>
      <c r="E72" s="30" t="str">
        <f>IF(ISNA(VLOOKUP($A72,'Species Library'!$A$6:$Z$150,COLUMN('Species Library'!E68),FALSE)), "",VLOOKUP($A72,'Species Library'!$A$6:$Z$150,COLUMN('Species Library'!E68),FALSE))</f>
        <v/>
      </c>
      <c r="F72" s="30" t="str">
        <f>IF(ISNA(VLOOKUP($A72,'Species Library'!$A$6:$Z$150,COLUMN('Species Library'!F68),FALSE)), "",VLOOKUP($A72,'Species Library'!$A$6:$Z$150,COLUMN('Species Library'!F68),FALSE))</f>
        <v/>
      </c>
      <c r="G72" s="30" t="str">
        <f t="shared" si="0"/>
        <v/>
      </c>
      <c r="H72" s="30" t="str">
        <f>IF(ISNA(VLOOKUP($A72,'Species Library'!$A$6:$Z$150,COLUMN('Species Library'!G68),FALSE)), "",VLOOKUP($A72,'Species Library'!$A$6:$Z$150,COLUMN('Species Library'!G68),FALSE))</f>
        <v/>
      </c>
      <c r="I72" s="30" t="str">
        <f>IF(ISNA(VLOOKUP($A72,'Species Library'!$A$6:$Z$150,COLUMN('Species Library'!H68),FALSE)), "",VLOOKUP($A72,'Species Library'!$A$6:$Z$150,COLUMN('Species Library'!H68),FALSE))</f>
        <v/>
      </c>
      <c r="J72" s="30" t="str">
        <f>IF(ISNA(VLOOKUP($A72,'Species Library'!$A$6:$Z$150,COLUMN('Species Library'!I68),FALSE)), "",VLOOKUP($A72,'Species Library'!$A$6:$Z$150,COLUMN('Species Library'!I68),FALSE))</f>
        <v/>
      </c>
      <c r="K72" s="30" t="str">
        <f>IF(ISNA(VLOOKUP($A72,'Species Library'!$A$6:$Z$150,COLUMN('Species Library'!J68),FALSE)), "",VLOOKUP($A72,'Species Library'!$A$6:$Z$150,COLUMN('Species Library'!J68),FALSE))</f>
        <v/>
      </c>
      <c r="L72" s="30" t="str">
        <f>IF(ISNA(VLOOKUP($A72,'Species Library'!$A$6:$Z$150,COLUMN('Species Library'!K68),FALSE)), "",VLOOKUP($A72,'Species Library'!$A$6:$Z$150,COLUMN('Species Library'!K68),FALSE))</f>
        <v/>
      </c>
      <c r="M72" s="30" t="str">
        <f t="shared" si="1"/>
        <v/>
      </c>
      <c r="N72" s="30" t="str">
        <f>IF(ISNA(VLOOKUP($A72,'Species Library'!$A$6:$Z$150,COLUMN('Species Library'!L68),FALSE)), "",VLOOKUP($A72,'Species Library'!$A$6:$Z$150,COLUMN('Species Library'!L68),FALSE))</f>
        <v/>
      </c>
      <c r="O72" s="30" t="str">
        <f>IF(ISNA(VLOOKUP($A72,'Species Library'!$A$6:$Z$150,COLUMN('Species Library'!M68),FALSE)), "",VLOOKUP($A72,'Species Library'!$A$6:$Z$150,COLUMN('Species Library'!M68),FALSE))</f>
        <v/>
      </c>
      <c r="P72" s="30" t="str">
        <f>IF(ISNA(VLOOKUP($A72,'Species Library'!$A$6:$Z$150,COLUMN('Species Library'!N68),FALSE)), "",VLOOKUP($A72,'Species Library'!$A$6:$Z$150,COLUMN('Species Library'!N68),FALSE))</f>
        <v/>
      </c>
      <c r="Q72" s="30" t="str">
        <f t="shared" si="2"/>
        <v/>
      </c>
      <c r="R72" s="30" t="str">
        <f>IF(ISNA(VLOOKUP($A72,'Species Library'!$A$6:$Z$150,COLUMN('Species Library'!O68),FALSE)), "",VLOOKUP($A72,'Species Library'!$A$6:$Z$150,COLUMN('Species Library'!O68),FALSE))</f>
        <v/>
      </c>
      <c r="S72" s="30" t="str">
        <f>IF(ISNA(VLOOKUP($A72,'Species Library'!$A$6:$Z$150,COLUMN('Species Library'!P68),FALSE)), "",VLOOKUP($A72,'Species Library'!$A$6:$Z$150,COLUMN('Species Library'!P68),FALSE))</f>
        <v/>
      </c>
      <c r="T72" s="30" t="str">
        <f>IF(ISNA(VLOOKUP($A72,'Species Library'!$A$6:$Z$150,COLUMN('Species Library'!Q68),FALSE)), "",VLOOKUP($A72,'Species Library'!$A$6:$Z$150,COLUMN('Species Library'!Q68),FALSE))</f>
        <v/>
      </c>
      <c r="U72" s="30" t="str">
        <f>IF(ISNA(VLOOKUP($A72,'Species Library'!$A$6:$Z$150,COLUMN('Species Library'!R68),FALSE)), "",VLOOKUP($A72,'Species Library'!$A$6:$Z$150,COLUMN('Species Library'!R68),FALSE))</f>
        <v/>
      </c>
      <c r="V72" s="30" t="str">
        <f>IF(ISNA(VLOOKUP($A72,'Species Library'!$A$6:$Z$150,COLUMN('Species Library'!S68),FALSE)), "",VLOOKUP($A72,'Species Library'!$A$6:$Z$150,COLUMN('Species Library'!S68),FALSE))</f>
        <v/>
      </c>
      <c r="W72" s="30" t="str">
        <f>IF(ISNA(VLOOKUP($A72,'Species Library'!$A$6:$Z$150,COLUMN('Species Library'!T68),FALSE)), "",VLOOKUP($A72,'Species Library'!$A$6:$Z$150,COLUMN('Species Library'!T68),FALSE))</f>
        <v/>
      </c>
      <c r="X72" s="30" t="str">
        <f t="shared" si="3"/>
        <v/>
      </c>
      <c r="Y72" s="30" t="str">
        <f>IF(ISNA(VLOOKUP($A72,'Species Library'!$A$6:$Z$150,COLUMN('Species Library'!U68),FALSE)), "",VLOOKUP($A72,'Species Library'!$A$6:$Z$150,COLUMN('Species Library'!U68),FALSE))</f>
        <v/>
      </c>
      <c r="Z72" s="30" t="str">
        <f>IF(ISNA(VLOOKUP($A72,'Species Library'!$A$6:$Z$150,COLUMN('Species Library'!V68),FALSE)), "",VLOOKUP($A72,'Species Library'!$A$6:$Z$150,COLUMN('Species Library'!V68),FALSE))</f>
        <v/>
      </c>
      <c r="AA72" s="30" t="str">
        <f>IF(ISNA(VLOOKUP($A72,'Species Library'!$A$6:$Z$150,COLUMN('Species Library'!W68),FALSE)), "",VLOOKUP($A72,'Species Library'!$A$6:$Z$150,COLUMN('Species Library'!W68),FALSE))</f>
        <v/>
      </c>
      <c r="AB72" s="30" t="str">
        <f>IF(ISNA(VLOOKUP($A72,'Species Library'!$A$6:$Z$150,COLUMN('Species Library'!X68),FALSE)), "",VLOOKUP($A72,'Species Library'!$A$6:$Z$150,COLUMN('Species Library'!X68),FALSE))</f>
        <v/>
      </c>
      <c r="AC72" s="30" t="str">
        <f>IF(ISNA(VLOOKUP($A72,'Species Library'!$A$6:$Z$150,COLUMN('Species Library'!Y68),FALSE)), "",VLOOKUP($A72,'Species Library'!$A$6:$Z$150,COLUMN('Species Library'!Y68),FALSE))</f>
        <v/>
      </c>
      <c r="AD72" s="30" t="str">
        <f>IF(ISNA(VLOOKUP($A72,'Species Library'!$A$6:$Z$150,COLUMN('Species Library'!Z68),FALSE)), "",VLOOKUP($A72,'Species Library'!$A$6:$Z$150,COLUMN('Species Library'!Z68),FALSE))</f>
        <v/>
      </c>
    </row>
    <row r="73" spans="2:30" x14ac:dyDescent="0.4">
      <c r="B73" s="30" t="str">
        <f>IF(ISNA(VLOOKUP($A73,'Species Library'!$A$6:$Z$150,COLUMN('Species Library'!B69),FALSE)), "",VLOOKUP($A73,'Species Library'!$A$6:$Z$150,COLUMN('Species Library'!B69),FALSE))</f>
        <v/>
      </c>
      <c r="C73" s="30" t="str">
        <f>IF(ISNA(VLOOKUP($A73,'Species Library'!$A$6:$Z$150,COLUMN('Species Library'!C69),FALSE)), "",VLOOKUP($A73,'Species Library'!$A$6:$Z$150,COLUMN('Species Library'!C69),FALSE))</f>
        <v/>
      </c>
      <c r="D73" s="30" t="str">
        <f>IF(ISNA(VLOOKUP($A73,'Species Library'!$A$6:$Z$150,COLUMN('Species Library'!D69),FALSE)), "",VLOOKUP($A73,'Species Library'!$A$6:$Z$150,COLUMN('Species Library'!D69),FALSE))</f>
        <v/>
      </c>
      <c r="E73" s="30" t="str">
        <f>IF(ISNA(VLOOKUP($A73,'Species Library'!$A$6:$Z$150,COLUMN('Species Library'!E69),FALSE)), "",VLOOKUP($A73,'Species Library'!$A$6:$Z$150,COLUMN('Species Library'!E69),FALSE))</f>
        <v/>
      </c>
      <c r="F73" s="30" t="str">
        <f>IF(ISNA(VLOOKUP($A73,'Species Library'!$A$6:$Z$150,COLUMN('Species Library'!F69),FALSE)), "",VLOOKUP($A73,'Species Library'!$A$6:$Z$150,COLUMN('Species Library'!F69),FALSE))</f>
        <v/>
      </c>
      <c r="G73" s="30" t="str">
        <f t="shared" si="0"/>
        <v/>
      </c>
      <c r="H73" s="30" t="str">
        <f>IF(ISNA(VLOOKUP($A73,'Species Library'!$A$6:$Z$150,COLUMN('Species Library'!G69),FALSE)), "",VLOOKUP($A73,'Species Library'!$A$6:$Z$150,COLUMN('Species Library'!G69),FALSE))</f>
        <v/>
      </c>
      <c r="I73" s="30" t="str">
        <f>IF(ISNA(VLOOKUP($A73,'Species Library'!$A$6:$Z$150,COLUMN('Species Library'!H69),FALSE)), "",VLOOKUP($A73,'Species Library'!$A$6:$Z$150,COLUMN('Species Library'!H69),FALSE))</f>
        <v/>
      </c>
      <c r="J73" s="30" t="str">
        <f>IF(ISNA(VLOOKUP($A73,'Species Library'!$A$6:$Z$150,COLUMN('Species Library'!I69),FALSE)), "",VLOOKUP($A73,'Species Library'!$A$6:$Z$150,COLUMN('Species Library'!I69),FALSE))</f>
        <v/>
      </c>
      <c r="K73" s="30" t="str">
        <f>IF(ISNA(VLOOKUP($A73,'Species Library'!$A$6:$Z$150,COLUMN('Species Library'!J69),FALSE)), "",VLOOKUP($A73,'Species Library'!$A$6:$Z$150,COLUMN('Species Library'!J69),FALSE))</f>
        <v/>
      </c>
      <c r="L73" s="30" t="str">
        <f>IF(ISNA(VLOOKUP($A73,'Species Library'!$A$6:$Z$150,COLUMN('Species Library'!K69),FALSE)), "",VLOOKUP($A73,'Species Library'!$A$6:$Z$150,COLUMN('Species Library'!K69),FALSE))</f>
        <v/>
      </c>
      <c r="M73" s="30" t="str">
        <f t="shared" si="1"/>
        <v/>
      </c>
      <c r="N73" s="30" t="str">
        <f>IF(ISNA(VLOOKUP($A73,'Species Library'!$A$6:$Z$150,COLUMN('Species Library'!L69),FALSE)), "",VLOOKUP($A73,'Species Library'!$A$6:$Z$150,COLUMN('Species Library'!L69),FALSE))</f>
        <v/>
      </c>
      <c r="O73" s="30" t="str">
        <f>IF(ISNA(VLOOKUP($A73,'Species Library'!$A$6:$Z$150,COLUMN('Species Library'!M69),FALSE)), "",VLOOKUP($A73,'Species Library'!$A$6:$Z$150,COLUMN('Species Library'!M69),FALSE))</f>
        <v/>
      </c>
      <c r="P73" s="30" t="str">
        <f>IF(ISNA(VLOOKUP($A73,'Species Library'!$A$6:$Z$150,COLUMN('Species Library'!N69),FALSE)), "",VLOOKUP($A73,'Species Library'!$A$6:$Z$150,COLUMN('Species Library'!N69),FALSE))</f>
        <v/>
      </c>
      <c r="Q73" s="30" t="str">
        <f t="shared" si="2"/>
        <v/>
      </c>
      <c r="R73" s="30" t="str">
        <f>IF(ISNA(VLOOKUP($A73,'Species Library'!$A$6:$Z$150,COLUMN('Species Library'!O69),FALSE)), "",VLOOKUP($A73,'Species Library'!$A$6:$Z$150,COLUMN('Species Library'!O69),FALSE))</f>
        <v/>
      </c>
      <c r="S73" s="30" t="str">
        <f>IF(ISNA(VLOOKUP($A73,'Species Library'!$A$6:$Z$150,COLUMN('Species Library'!P69),FALSE)), "",VLOOKUP($A73,'Species Library'!$A$6:$Z$150,COLUMN('Species Library'!P69),FALSE))</f>
        <v/>
      </c>
      <c r="T73" s="30" t="str">
        <f>IF(ISNA(VLOOKUP($A73,'Species Library'!$A$6:$Z$150,COLUMN('Species Library'!Q69),FALSE)), "",VLOOKUP($A73,'Species Library'!$A$6:$Z$150,COLUMN('Species Library'!Q69),FALSE))</f>
        <v/>
      </c>
      <c r="U73" s="30" t="str">
        <f>IF(ISNA(VLOOKUP($A73,'Species Library'!$A$6:$Z$150,COLUMN('Species Library'!R69),FALSE)), "",VLOOKUP($A73,'Species Library'!$A$6:$Z$150,COLUMN('Species Library'!R69),FALSE))</f>
        <v/>
      </c>
      <c r="V73" s="30" t="str">
        <f>IF(ISNA(VLOOKUP($A73,'Species Library'!$A$6:$Z$150,COLUMN('Species Library'!S69),FALSE)), "",VLOOKUP($A73,'Species Library'!$A$6:$Z$150,COLUMN('Species Library'!S69),FALSE))</f>
        <v/>
      </c>
      <c r="W73" s="30" t="str">
        <f>IF(ISNA(VLOOKUP($A73,'Species Library'!$A$6:$Z$150,COLUMN('Species Library'!T69),FALSE)), "",VLOOKUP($A73,'Species Library'!$A$6:$Z$150,COLUMN('Species Library'!T69),FALSE))</f>
        <v/>
      </c>
      <c r="X73" s="30" t="str">
        <f t="shared" si="3"/>
        <v/>
      </c>
      <c r="Y73" s="30" t="str">
        <f>IF(ISNA(VLOOKUP($A73,'Species Library'!$A$6:$Z$150,COLUMN('Species Library'!U69),FALSE)), "",VLOOKUP($A73,'Species Library'!$A$6:$Z$150,COLUMN('Species Library'!U69),FALSE))</f>
        <v/>
      </c>
      <c r="Z73" s="30" t="str">
        <f>IF(ISNA(VLOOKUP($A73,'Species Library'!$A$6:$Z$150,COLUMN('Species Library'!V69),FALSE)), "",VLOOKUP($A73,'Species Library'!$A$6:$Z$150,COLUMN('Species Library'!V69),FALSE))</f>
        <v/>
      </c>
      <c r="AA73" s="30" t="str">
        <f>IF(ISNA(VLOOKUP($A73,'Species Library'!$A$6:$Z$150,COLUMN('Species Library'!W69),FALSE)), "",VLOOKUP($A73,'Species Library'!$A$6:$Z$150,COLUMN('Species Library'!W69),FALSE))</f>
        <v/>
      </c>
      <c r="AB73" s="30" t="str">
        <f>IF(ISNA(VLOOKUP($A73,'Species Library'!$A$6:$Z$150,COLUMN('Species Library'!X69),FALSE)), "",VLOOKUP($A73,'Species Library'!$A$6:$Z$150,COLUMN('Species Library'!X69),FALSE))</f>
        <v/>
      </c>
      <c r="AC73" s="30" t="str">
        <f>IF(ISNA(VLOOKUP($A73,'Species Library'!$A$6:$Z$150,COLUMN('Species Library'!Y69),FALSE)), "",VLOOKUP($A73,'Species Library'!$A$6:$Z$150,COLUMN('Species Library'!Y69),FALSE))</f>
        <v/>
      </c>
      <c r="AD73" s="30" t="str">
        <f>IF(ISNA(VLOOKUP($A73,'Species Library'!$A$6:$Z$150,COLUMN('Species Library'!Z69),FALSE)), "",VLOOKUP($A73,'Species Library'!$A$6:$Z$150,COLUMN('Species Library'!Z69),FALSE))</f>
        <v/>
      </c>
    </row>
    <row r="74" spans="2:30" x14ac:dyDescent="0.4">
      <c r="B74" s="30" t="str">
        <f>IF(ISNA(VLOOKUP($A74,'Species Library'!$A$6:$Z$150,COLUMN('Species Library'!B70),FALSE)), "",VLOOKUP($A74,'Species Library'!$A$6:$Z$150,COLUMN('Species Library'!B70),FALSE))</f>
        <v/>
      </c>
      <c r="C74" s="30" t="str">
        <f>IF(ISNA(VLOOKUP($A74,'Species Library'!$A$6:$Z$150,COLUMN('Species Library'!C70),FALSE)), "",VLOOKUP($A74,'Species Library'!$A$6:$Z$150,COLUMN('Species Library'!C70),FALSE))</f>
        <v/>
      </c>
      <c r="D74" s="30" t="str">
        <f>IF(ISNA(VLOOKUP($A74,'Species Library'!$A$6:$Z$150,COLUMN('Species Library'!D70),FALSE)), "",VLOOKUP($A74,'Species Library'!$A$6:$Z$150,COLUMN('Species Library'!D70),FALSE))</f>
        <v/>
      </c>
      <c r="E74" s="30" t="str">
        <f>IF(ISNA(VLOOKUP($A74,'Species Library'!$A$6:$Z$150,COLUMN('Species Library'!E70),FALSE)), "",VLOOKUP($A74,'Species Library'!$A$6:$Z$150,COLUMN('Species Library'!E70),FALSE))</f>
        <v/>
      </c>
      <c r="F74" s="30" t="str">
        <f>IF(ISNA(VLOOKUP($A74,'Species Library'!$A$6:$Z$150,COLUMN('Species Library'!F70),FALSE)), "",VLOOKUP($A74,'Species Library'!$A$6:$Z$150,COLUMN('Species Library'!F70),FALSE))</f>
        <v/>
      </c>
      <c r="G74" s="30" t="str">
        <f t="shared" si="0"/>
        <v/>
      </c>
      <c r="H74" s="30" t="str">
        <f>IF(ISNA(VLOOKUP($A74,'Species Library'!$A$6:$Z$150,COLUMN('Species Library'!G70),FALSE)), "",VLOOKUP($A74,'Species Library'!$A$6:$Z$150,COLUMN('Species Library'!G70),FALSE))</f>
        <v/>
      </c>
      <c r="I74" s="30" t="str">
        <f>IF(ISNA(VLOOKUP($A74,'Species Library'!$A$6:$Z$150,COLUMN('Species Library'!H70),FALSE)), "",VLOOKUP($A74,'Species Library'!$A$6:$Z$150,COLUMN('Species Library'!H70),FALSE))</f>
        <v/>
      </c>
      <c r="J74" s="30" t="str">
        <f>IF(ISNA(VLOOKUP($A74,'Species Library'!$A$6:$Z$150,COLUMN('Species Library'!I70),FALSE)), "",VLOOKUP($A74,'Species Library'!$A$6:$Z$150,COLUMN('Species Library'!I70),FALSE))</f>
        <v/>
      </c>
      <c r="K74" s="30" t="str">
        <f>IF(ISNA(VLOOKUP($A74,'Species Library'!$A$6:$Z$150,COLUMN('Species Library'!J70),FALSE)), "",VLOOKUP($A74,'Species Library'!$A$6:$Z$150,COLUMN('Species Library'!J70),FALSE))</f>
        <v/>
      </c>
      <c r="L74" s="30" t="str">
        <f>IF(ISNA(VLOOKUP($A74,'Species Library'!$A$6:$Z$150,COLUMN('Species Library'!K70),FALSE)), "",VLOOKUP($A74,'Species Library'!$A$6:$Z$150,COLUMN('Species Library'!K70),FALSE))</f>
        <v/>
      </c>
      <c r="M74" s="30" t="str">
        <f t="shared" si="1"/>
        <v/>
      </c>
      <c r="N74" s="30" t="str">
        <f>IF(ISNA(VLOOKUP($A74,'Species Library'!$A$6:$Z$150,COLUMN('Species Library'!L70),FALSE)), "",VLOOKUP($A74,'Species Library'!$A$6:$Z$150,COLUMN('Species Library'!L70),FALSE))</f>
        <v/>
      </c>
      <c r="O74" s="30" t="str">
        <f>IF(ISNA(VLOOKUP($A74,'Species Library'!$A$6:$Z$150,COLUMN('Species Library'!M70),FALSE)), "",VLOOKUP($A74,'Species Library'!$A$6:$Z$150,COLUMN('Species Library'!M70),FALSE))</f>
        <v/>
      </c>
      <c r="P74" s="30" t="str">
        <f>IF(ISNA(VLOOKUP($A74,'Species Library'!$A$6:$Z$150,COLUMN('Species Library'!N70),FALSE)), "",VLOOKUP($A74,'Species Library'!$A$6:$Z$150,COLUMN('Species Library'!N70),FALSE))</f>
        <v/>
      </c>
      <c r="Q74" s="30" t="str">
        <f t="shared" si="2"/>
        <v/>
      </c>
      <c r="R74" s="30" t="str">
        <f>IF(ISNA(VLOOKUP($A74,'Species Library'!$A$6:$Z$150,COLUMN('Species Library'!O70),FALSE)), "",VLOOKUP($A74,'Species Library'!$A$6:$Z$150,COLUMN('Species Library'!O70),FALSE))</f>
        <v/>
      </c>
      <c r="S74" s="30" t="str">
        <f>IF(ISNA(VLOOKUP($A74,'Species Library'!$A$6:$Z$150,COLUMN('Species Library'!P70),FALSE)), "",VLOOKUP($A74,'Species Library'!$A$6:$Z$150,COLUMN('Species Library'!P70),FALSE))</f>
        <v/>
      </c>
      <c r="T74" s="30" t="str">
        <f>IF(ISNA(VLOOKUP($A74,'Species Library'!$A$6:$Z$150,COLUMN('Species Library'!Q70),FALSE)), "",VLOOKUP($A74,'Species Library'!$A$6:$Z$150,COLUMN('Species Library'!Q70),FALSE))</f>
        <v/>
      </c>
      <c r="U74" s="30" t="str">
        <f>IF(ISNA(VLOOKUP($A74,'Species Library'!$A$6:$Z$150,COLUMN('Species Library'!R70),FALSE)), "",VLOOKUP($A74,'Species Library'!$A$6:$Z$150,COLUMN('Species Library'!R70),FALSE))</f>
        <v/>
      </c>
      <c r="V74" s="30" t="str">
        <f>IF(ISNA(VLOOKUP($A74,'Species Library'!$A$6:$Z$150,COLUMN('Species Library'!S70),FALSE)), "",VLOOKUP($A74,'Species Library'!$A$6:$Z$150,COLUMN('Species Library'!S70),FALSE))</f>
        <v/>
      </c>
      <c r="W74" s="30" t="str">
        <f>IF(ISNA(VLOOKUP($A74,'Species Library'!$A$6:$Z$150,COLUMN('Species Library'!T70),FALSE)), "",VLOOKUP($A74,'Species Library'!$A$6:$Z$150,COLUMN('Species Library'!T70),FALSE))</f>
        <v/>
      </c>
      <c r="X74" s="30" t="str">
        <f t="shared" si="3"/>
        <v/>
      </c>
      <c r="Y74" s="30" t="str">
        <f>IF(ISNA(VLOOKUP($A74,'Species Library'!$A$6:$Z$150,COLUMN('Species Library'!U70),FALSE)), "",VLOOKUP($A74,'Species Library'!$A$6:$Z$150,COLUMN('Species Library'!U70),FALSE))</f>
        <v/>
      </c>
      <c r="Z74" s="30" t="str">
        <f>IF(ISNA(VLOOKUP($A74,'Species Library'!$A$6:$Z$150,COLUMN('Species Library'!V70),FALSE)), "",VLOOKUP($A74,'Species Library'!$A$6:$Z$150,COLUMN('Species Library'!V70),FALSE))</f>
        <v/>
      </c>
      <c r="AA74" s="30" t="str">
        <f>IF(ISNA(VLOOKUP($A74,'Species Library'!$A$6:$Z$150,COLUMN('Species Library'!W70),FALSE)), "",VLOOKUP($A74,'Species Library'!$A$6:$Z$150,COLUMN('Species Library'!W70),FALSE))</f>
        <v/>
      </c>
      <c r="AB74" s="30" t="str">
        <f>IF(ISNA(VLOOKUP($A74,'Species Library'!$A$6:$Z$150,COLUMN('Species Library'!X70),FALSE)), "",VLOOKUP($A74,'Species Library'!$A$6:$Z$150,COLUMN('Species Library'!X70),FALSE))</f>
        <v/>
      </c>
      <c r="AC74" s="30" t="str">
        <f>IF(ISNA(VLOOKUP($A74,'Species Library'!$A$6:$Z$150,COLUMN('Species Library'!Y70),FALSE)), "",VLOOKUP($A74,'Species Library'!$A$6:$Z$150,COLUMN('Species Library'!Y70),FALSE))</f>
        <v/>
      </c>
      <c r="AD74" s="30" t="str">
        <f>IF(ISNA(VLOOKUP($A74,'Species Library'!$A$6:$Z$150,COLUMN('Species Library'!Z70),FALSE)), "",VLOOKUP($A74,'Species Library'!$A$6:$Z$150,COLUMN('Species Library'!Z70),FALSE))</f>
        <v/>
      </c>
    </row>
    <row r="75" spans="2:30" x14ac:dyDescent="0.4">
      <c r="B75" s="30" t="str">
        <f>IF(ISNA(VLOOKUP($A75,'Species Library'!$A$6:$Z$150,COLUMN('Species Library'!B71),FALSE)), "",VLOOKUP($A75,'Species Library'!$A$6:$Z$150,COLUMN('Species Library'!B71),FALSE))</f>
        <v/>
      </c>
      <c r="C75" s="30" t="str">
        <f>IF(ISNA(VLOOKUP($A75,'Species Library'!$A$6:$Z$150,COLUMN('Species Library'!C71),FALSE)), "",VLOOKUP($A75,'Species Library'!$A$6:$Z$150,COLUMN('Species Library'!C71),FALSE))</f>
        <v/>
      </c>
      <c r="D75" s="30" t="str">
        <f>IF(ISNA(VLOOKUP($A75,'Species Library'!$A$6:$Z$150,COLUMN('Species Library'!D71),FALSE)), "",VLOOKUP($A75,'Species Library'!$A$6:$Z$150,COLUMN('Species Library'!D71),FALSE))</f>
        <v/>
      </c>
      <c r="E75" s="30" t="str">
        <f>IF(ISNA(VLOOKUP($A75,'Species Library'!$A$6:$Z$150,COLUMN('Species Library'!E71),FALSE)), "",VLOOKUP($A75,'Species Library'!$A$6:$Z$150,COLUMN('Species Library'!E71),FALSE))</f>
        <v/>
      </c>
      <c r="F75" s="30" t="str">
        <f>IF(ISNA(VLOOKUP($A75,'Species Library'!$A$6:$Z$150,COLUMN('Species Library'!F71),FALSE)), "",VLOOKUP($A75,'Species Library'!$A$6:$Z$150,COLUMN('Species Library'!F71),FALSE))</f>
        <v/>
      </c>
      <c r="G75" s="30" t="str">
        <f t="shared" si="0"/>
        <v/>
      </c>
      <c r="H75" s="30" t="str">
        <f>IF(ISNA(VLOOKUP($A75,'Species Library'!$A$6:$Z$150,COLUMN('Species Library'!G71),FALSE)), "",VLOOKUP($A75,'Species Library'!$A$6:$Z$150,COLUMN('Species Library'!G71),FALSE))</f>
        <v/>
      </c>
      <c r="I75" s="30" t="str">
        <f>IF(ISNA(VLOOKUP($A75,'Species Library'!$A$6:$Z$150,COLUMN('Species Library'!H71),FALSE)), "",VLOOKUP($A75,'Species Library'!$A$6:$Z$150,COLUMN('Species Library'!H71),FALSE))</f>
        <v/>
      </c>
      <c r="J75" s="30" t="str">
        <f>IF(ISNA(VLOOKUP($A75,'Species Library'!$A$6:$Z$150,COLUMN('Species Library'!I71),FALSE)), "",VLOOKUP($A75,'Species Library'!$A$6:$Z$150,COLUMN('Species Library'!I71),FALSE))</f>
        <v/>
      </c>
      <c r="K75" s="30" t="str">
        <f>IF(ISNA(VLOOKUP($A75,'Species Library'!$A$6:$Z$150,COLUMN('Species Library'!J71),FALSE)), "",VLOOKUP($A75,'Species Library'!$A$6:$Z$150,COLUMN('Species Library'!J71),FALSE))</f>
        <v/>
      </c>
      <c r="L75" s="30" t="str">
        <f>IF(ISNA(VLOOKUP($A75,'Species Library'!$A$6:$Z$150,COLUMN('Species Library'!K71),FALSE)), "",VLOOKUP($A75,'Species Library'!$A$6:$Z$150,COLUMN('Species Library'!K71),FALSE))</f>
        <v/>
      </c>
      <c r="M75" s="30" t="str">
        <f t="shared" si="1"/>
        <v/>
      </c>
      <c r="N75" s="30" t="str">
        <f>IF(ISNA(VLOOKUP($A75,'Species Library'!$A$6:$Z$150,COLUMN('Species Library'!L71),FALSE)), "",VLOOKUP($A75,'Species Library'!$A$6:$Z$150,COLUMN('Species Library'!L71),FALSE))</f>
        <v/>
      </c>
      <c r="O75" s="30" t="str">
        <f>IF(ISNA(VLOOKUP($A75,'Species Library'!$A$6:$Z$150,COLUMN('Species Library'!M71),FALSE)), "",VLOOKUP($A75,'Species Library'!$A$6:$Z$150,COLUMN('Species Library'!M71),FALSE))</f>
        <v/>
      </c>
      <c r="P75" s="30" t="str">
        <f>IF(ISNA(VLOOKUP($A75,'Species Library'!$A$6:$Z$150,COLUMN('Species Library'!N71),FALSE)), "",VLOOKUP($A75,'Species Library'!$A$6:$Z$150,COLUMN('Species Library'!N71),FALSE))</f>
        <v/>
      </c>
      <c r="Q75" s="30" t="str">
        <f t="shared" si="2"/>
        <v/>
      </c>
      <c r="R75" s="30" t="str">
        <f>IF(ISNA(VLOOKUP($A75,'Species Library'!$A$6:$Z$150,COLUMN('Species Library'!O71),FALSE)), "",VLOOKUP($A75,'Species Library'!$A$6:$Z$150,COLUMN('Species Library'!O71),FALSE))</f>
        <v/>
      </c>
      <c r="S75" s="30" t="str">
        <f>IF(ISNA(VLOOKUP($A75,'Species Library'!$A$6:$Z$150,COLUMN('Species Library'!P71),FALSE)), "",VLOOKUP($A75,'Species Library'!$A$6:$Z$150,COLUMN('Species Library'!P71),FALSE))</f>
        <v/>
      </c>
      <c r="T75" s="30" t="str">
        <f>IF(ISNA(VLOOKUP($A75,'Species Library'!$A$6:$Z$150,COLUMN('Species Library'!Q71),FALSE)), "",VLOOKUP($A75,'Species Library'!$A$6:$Z$150,COLUMN('Species Library'!Q71),FALSE))</f>
        <v/>
      </c>
      <c r="U75" s="30" t="str">
        <f>IF(ISNA(VLOOKUP($A75,'Species Library'!$A$6:$Z$150,COLUMN('Species Library'!R71),FALSE)), "",VLOOKUP($A75,'Species Library'!$A$6:$Z$150,COLUMN('Species Library'!R71),FALSE))</f>
        <v/>
      </c>
      <c r="V75" s="30" t="str">
        <f>IF(ISNA(VLOOKUP($A75,'Species Library'!$A$6:$Z$150,COLUMN('Species Library'!S71),FALSE)), "",VLOOKUP($A75,'Species Library'!$A$6:$Z$150,COLUMN('Species Library'!S71),FALSE))</f>
        <v/>
      </c>
      <c r="W75" s="30" t="str">
        <f>IF(ISNA(VLOOKUP($A75,'Species Library'!$A$6:$Z$150,COLUMN('Species Library'!T71),FALSE)), "",VLOOKUP($A75,'Species Library'!$A$6:$Z$150,COLUMN('Species Library'!T71),FALSE))</f>
        <v/>
      </c>
      <c r="X75" s="30" t="str">
        <f t="shared" si="3"/>
        <v/>
      </c>
      <c r="Y75" s="30" t="str">
        <f>IF(ISNA(VLOOKUP($A75,'Species Library'!$A$6:$Z$150,COLUMN('Species Library'!U71),FALSE)), "",VLOOKUP($A75,'Species Library'!$A$6:$Z$150,COLUMN('Species Library'!U71),FALSE))</f>
        <v/>
      </c>
      <c r="Z75" s="30" t="str">
        <f>IF(ISNA(VLOOKUP($A75,'Species Library'!$A$6:$Z$150,COLUMN('Species Library'!V71),FALSE)), "",VLOOKUP($A75,'Species Library'!$A$6:$Z$150,COLUMN('Species Library'!V71),FALSE))</f>
        <v/>
      </c>
      <c r="AA75" s="30" t="str">
        <f>IF(ISNA(VLOOKUP($A75,'Species Library'!$A$6:$Z$150,COLUMN('Species Library'!W71),FALSE)), "",VLOOKUP($A75,'Species Library'!$A$6:$Z$150,COLUMN('Species Library'!W71),FALSE))</f>
        <v/>
      </c>
      <c r="AB75" s="30" t="str">
        <f>IF(ISNA(VLOOKUP($A75,'Species Library'!$A$6:$Z$150,COLUMN('Species Library'!X71),FALSE)), "",VLOOKUP($A75,'Species Library'!$A$6:$Z$150,COLUMN('Species Library'!X71),FALSE))</f>
        <v/>
      </c>
      <c r="AC75" s="30" t="str">
        <f>IF(ISNA(VLOOKUP($A75,'Species Library'!$A$6:$Z$150,COLUMN('Species Library'!Y71),FALSE)), "",VLOOKUP($A75,'Species Library'!$A$6:$Z$150,COLUMN('Species Library'!Y71),FALSE))</f>
        <v/>
      </c>
      <c r="AD75" s="30" t="str">
        <f>IF(ISNA(VLOOKUP($A75,'Species Library'!$A$6:$Z$150,COLUMN('Species Library'!Z71),FALSE)), "",VLOOKUP($A75,'Species Library'!$A$6:$Z$150,COLUMN('Species Library'!Z71),FALSE))</f>
        <v/>
      </c>
    </row>
    <row r="76" spans="2:30" x14ac:dyDescent="0.4">
      <c r="B76" s="30" t="str">
        <f>IF(ISNA(VLOOKUP($A76,'Species Library'!$A$6:$Z$150,COLUMN('Species Library'!B72),FALSE)), "",VLOOKUP($A76,'Species Library'!$A$6:$Z$150,COLUMN('Species Library'!B72),FALSE))</f>
        <v/>
      </c>
      <c r="C76" s="30" t="str">
        <f>IF(ISNA(VLOOKUP($A76,'Species Library'!$A$6:$Z$150,COLUMN('Species Library'!C72),FALSE)), "",VLOOKUP($A76,'Species Library'!$A$6:$Z$150,COLUMN('Species Library'!C72),FALSE))</f>
        <v/>
      </c>
      <c r="D76" s="30" t="str">
        <f>IF(ISNA(VLOOKUP($A76,'Species Library'!$A$6:$Z$150,COLUMN('Species Library'!D72),FALSE)), "",VLOOKUP($A76,'Species Library'!$A$6:$Z$150,COLUMN('Species Library'!D72),FALSE))</f>
        <v/>
      </c>
      <c r="E76" s="30" t="str">
        <f>IF(ISNA(VLOOKUP($A76,'Species Library'!$A$6:$Z$150,COLUMN('Species Library'!E72),FALSE)), "",VLOOKUP($A76,'Species Library'!$A$6:$Z$150,COLUMN('Species Library'!E72),FALSE))</f>
        <v/>
      </c>
      <c r="F76" s="30" t="str">
        <f>IF(ISNA(VLOOKUP($A76,'Species Library'!$A$6:$Z$150,COLUMN('Species Library'!F72),FALSE)), "",VLOOKUP($A76,'Species Library'!$A$6:$Z$150,COLUMN('Species Library'!F72),FALSE))</f>
        <v/>
      </c>
      <c r="G76" s="30" t="str">
        <f t="shared" ref="G76:G139" si="4">IF(A76="", "",A76)</f>
        <v/>
      </c>
      <c r="H76" s="30" t="str">
        <f>IF(ISNA(VLOOKUP($A76,'Species Library'!$A$6:$Z$150,COLUMN('Species Library'!G72),FALSE)), "",VLOOKUP($A76,'Species Library'!$A$6:$Z$150,COLUMN('Species Library'!G72),FALSE))</f>
        <v/>
      </c>
      <c r="I76" s="30" t="str">
        <f>IF(ISNA(VLOOKUP($A76,'Species Library'!$A$6:$Z$150,COLUMN('Species Library'!H72),FALSE)), "",VLOOKUP($A76,'Species Library'!$A$6:$Z$150,COLUMN('Species Library'!H72),FALSE))</f>
        <v/>
      </c>
      <c r="J76" s="30" t="str">
        <f>IF(ISNA(VLOOKUP($A76,'Species Library'!$A$6:$Z$150,COLUMN('Species Library'!I72),FALSE)), "",VLOOKUP($A76,'Species Library'!$A$6:$Z$150,COLUMN('Species Library'!I72),FALSE))</f>
        <v/>
      </c>
      <c r="K76" s="30" t="str">
        <f>IF(ISNA(VLOOKUP($A76,'Species Library'!$A$6:$Z$150,COLUMN('Species Library'!J72),FALSE)), "",VLOOKUP($A76,'Species Library'!$A$6:$Z$150,COLUMN('Species Library'!J72),FALSE))</f>
        <v/>
      </c>
      <c r="L76" s="30" t="str">
        <f>IF(ISNA(VLOOKUP($A76,'Species Library'!$A$6:$Z$150,COLUMN('Species Library'!K72),FALSE)), "",VLOOKUP($A76,'Species Library'!$A$6:$Z$150,COLUMN('Species Library'!K72),FALSE))</f>
        <v/>
      </c>
      <c r="M76" s="30" t="str">
        <f t="shared" ref="M76:M139" si="5">IF(A76="", "",A76)</f>
        <v/>
      </c>
      <c r="N76" s="30" t="str">
        <f>IF(ISNA(VLOOKUP($A76,'Species Library'!$A$6:$Z$150,COLUMN('Species Library'!L72),FALSE)), "",VLOOKUP($A76,'Species Library'!$A$6:$Z$150,COLUMN('Species Library'!L72),FALSE))</f>
        <v/>
      </c>
      <c r="O76" s="30" t="str">
        <f>IF(ISNA(VLOOKUP($A76,'Species Library'!$A$6:$Z$150,COLUMN('Species Library'!M72),FALSE)), "",VLOOKUP($A76,'Species Library'!$A$6:$Z$150,COLUMN('Species Library'!M72),FALSE))</f>
        <v/>
      </c>
      <c r="P76" s="30" t="str">
        <f>IF(ISNA(VLOOKUP($A76,'Species Library'!$A$6:$Z$150,COLUMN('Species Library'!N72),FALSE)), "",VLOOKUP($A76,'Species Library'!$A$6:$Z$150,COLUMN('Species Library'!N72),FALSE))</f>
        <v/>
      </c>
      <c r="Q76" s="30" t="str">
        <f t="shared" ref="Q76:Q139" si="6">IF(A76="", "",A76)</f>
        <v/>
      </c>
      <c r="R76" s="30" t="str">
        <f>IF(ISNA(VLOOKUP($A76,'Species Library'!$A$6:$Z$150,COLUMN('Species Library'!O72),FALSE)), "",VLOOKUP($A76,'Species Library'!$A$6:$Z$150,COLUMN('Species Library'!O72),FALSE))</f>
        <v/>
      </c>
      <c r="S76" s="30" t="str">
        <f>IF(ISNA(VLOOKUP($A76,'Species Library'!$A$6:$Z$150,COLUMN('Species Library'!P72),FALSE)), "",VLOOKUP($A76,'Species Library'!$A$6:$Z$150,COLUMN('Species Library'!P72),FALSE))</f>
        <v/>
      </c>
      <c r="T76" s="30" t="str">
        <f>IF(ISNA(VLOOKUP($A76,'Species Library'!$A$6:$Z$150,COLUMN('Species Library'!Q72),FALSE)), "",VLOOKUP($A76,'Species Library'!$A$6:$Z$150,COLUMN('Species Library'!Q72),FALSE))</f>
        <v/>
      </c>
      <c r="U76" s="30" t="str">
        <f>IF(ISNA(VLOOKUP($A76,'Species Library'!$A$6:$Z$150,COLUMN('Species Library'!R72),FALSE)), "",VLOOKUP($A76,'Species Library'!$A$6:$Z$150,COLUMN('Species Library'!R72),FALSE))</f>
        <v/>
      </c>
      <c r="V76" s="30" t="str">
        <f>IF(ISNA(VLOOKUP($A76,'Species Library'!$A$6:$Z$150,COLUMN('Species Library'!S72),FALSE)), "",VLOOKUP($A76,'Species Library'!$A$6:$Z$150,COLUMN('Species Library'!S72),FALSE))</f>
        <v/>
      </c>
      <c r="W76" s="30" t="str">
        <f>IF(ISNA(VLOOKUP($A76,'Species Library'!$A$6:$Z$150,COLUMN('Species Library'!T72),FALSE)), "",VLOOKUP($A76,'Species Library'!$A$6:$Z$150,COLUMN('Species Library'!T72),FALSE))</f>
        <v/>
      </c>
      <c r="X76" s="30" t="str">
        <f t="shared" ref="X76:X139" si="7">IF(A76="", "",A76)</f>
        <v/>
      </c>
      <c r="Y76" s="30" t="str">
        <f>IF(ISNA(VLOOKUP($A76,'Species Library'!$A$6:$Z$150,COLUMN('Species Library'!U72),FALSE)), "",VLOOKUP($A76,'Species Library'!$A$6:$Z$150,COLUMN('Species Library'!U72),FALSE))</f>
        <v/>
      </c>
      <c r="Z76" s="30" t="str">
        <f>IF(ISNA(VLOOKUP($A76,'Species Library'!$A$6:$Z$150,COLUMN('Species Library'!V72),FALSE)), "",VLOOKUP($A76,'Species Library'!$A$6:$Z$150,COLUMN('Species Library'!V72),FALSE))</f>
        <v/>
      </c>
      <c r="AA76" s="30" t="str">
        <f>IF(ISNA(VLOOKUP($A76,'Species Library'!$A$6:$Z$150,COLUMN('Species Library'!W72),FALSE)), "",VLOOKUP($A76,'Species Library'!$A$6:$Z$150,COLUMN('Species Library'!W72),FALSE))</f>
        <v/>
      </c>
      <c r="AB76" s="30" t="str">
        <f>IF(ISNA(VLOOKUP($A76,'Species Library'!$A$6:$Z$150,COLUMN('Species Library'!X72),FALSE)), "",VLOOKUP($A76,'Species Library'!$A$6:$Z$150,COLUMN('Species Library'!X72),FALSE))</f>
        <v/>
      </c>
      <c r="AC76" s="30" t="str">
        <f>IF(ISNA(VLOOKUP($A76,'Species Library'!$A$6:$Z$150,COLUMN('Species Library'!Y72),FALSE)), "",VLOOKUP($A76,'Species Library'!$A$6:$Z$150,COLUMN('Species Library'!Y72),FALSE))</f>
        <v/>
      </c>
      <c r="AD76" s="30" t="str">
        <f>IF(ISNA(VLOOKUP($A76,'Species Library'!$A$6:$Z$150,COLUMN('Species Library'!Z72),FALSE)), "",VLOOKUP($A76,'Species Library'!$A$6:$Z$150,COLUMN('Species Library'!Z72),FALSE))</f>
        <v/>
      </c>
    </row>
    <row r="77" spans="2:30" x14ac:dyDescent="0.4">
      <c r="B77" s="30" t="str">
        <f>IF(ISNA(VLOOKUP($A77,'Species Library'!$A$6:$Z$150,COLUMN('Species Library'!B73),FALSE)), "",VLOOKUP($A77,'Species Library'!$A$6:$Z$150,COLUMN('Species Library'!B73),FALSE))</f>
        <v/>
      </c>
      <c r="C77" s="30" t="str">
        <f>IF(ISNA(VLOOKUP($A77,'Species Library'!$A$6:$Z$150,COLUMN('Species Library'!C73),FALSE)), "",VLOOKUP($A77,'Species Library'!$A$6:$Z$150,COLUMN('Species Library'!C73),FALSE))</f>
        <v/>
      </c>
      <c r="D77" s="30" t="str">
        <f>IF(ISNA(VLOOKUP($A77,'Species Library'!$A$6:$Z$150,COLUMN('Species Library'!D73),FALSE)), "",VLOOKUP($A77,'Species Library'!$A$6:$Z$150,COLUMN('Species Library'!D73),FALSE))</f>
        <v/>
      </c>
      <c r="E77" s="30" t="str">
        <f>IF(ISNA(VLOOKUP($A77,'Species Library'!$A$6:$Z$150,COLUMN('Species Library'!E73),FALSE)), "",VLOOKUP($A77,'Species Library'!$A$6:$Z$150,COLUMN('Species Library'!E73),FALSE))</f>
        <v/>
      </c>
      <c r="F77" s="30" t="str">
        <f>IF(ISNA(VLOOKUP($A77,'Species Library'!$A$6:$Z$150,COLUMN('Species Library'!F73),FALSE)), "",VLOOKUP($A77,'Species Library'!$A$6:$Z$150,COLUMN('Species Library'!F73),FALSE))</f>
        <v/>
      </c>
      <c r="G77" s="30" t="str">
        <f t="shared" si="4"/>
        <v/>
      </c>
      <c r="H77" s="30" t="str">
        <f>IF(ISNA(VLOOKUP($A77,'Species Library'!$A$6:$Z$150,COLUMN('Species Library'!G73),FALSE)), "",VLOOKUP($A77,'Species Library'!$A$6:$Z$150,COLUMN('Species Library'!G73),FALSE))</f>
        <v/>
      </c>
      <c r="I77" s="30" t="str">
        <f>IF(ISNA(VLOOKUP($A77,'Species Library'!$A$6:$Z$150,COLUMN('Species Library'!H73),FALSE)), "",VLOOKUP($A77,'Species Library'!$A$6:$Z$150,COLUMN('Species Library'!H73),FALSE))</f>
        <v/>
      </c>
      <c r="J77" s="30" t="str">
        <f>IF(ISNA(VLOOKUP($A77,'Species Library'!$A$6:$Z$150,COLUMN('Species Library'!I73),FALSE)), "",VLOOKUP($A77,'Species Library'!$A$6:$Z$150,COLUMN('Species Library'!I73),FALSE))</f>
        <v/>
      </c>
      <c r="K77" s="30" t="str">
        <f>IF(ISNA(VLOOKUP($A77,'Species Library'!$A$6:$Z$150,COLUMN('Species Library'!J73),FALSE)), "",VLOOKUP($A77,'Species Library'!$A$6:$Z$150,COLUMN('Species Library'!J73),FALSE))</f>
        <v/>
      </c>
      <c r="L77" s="30" t="str">
        <f>IF(ISNA(VLOOKUP($A77,'Species Library'!$A$6:$Z$150,COLUMN('Species Library'!K73),FALSE)), "",VLOOKUP($A77,'Species Library'!$A$6:$Z$150,COLUMN('Species Library'!K73),FALSE))</f>
        <v/>
      </c>
      <c r="M77" s="30" t="str">
        <f t="shared" si="5"/>
        <v/>
      </c>
      <c r="N77" s="30" t="str">
        <f>IF(ISNA(VLOOKUP($A77,'Species Library'!$A$6:$Z$150,COLUMN('Species Library'!L73),FALSE)), "",VLOOKUP($A77,'Species Library'!$A$6:$Z$150,COLUMN('Species Library'!L73),FALSE))</f>
        <v/>
      </c>
      <c r="O77" s="30" t="str">
        <f>IF(ISNA(VLOOKUP($A77,'Species Library'!$A$6:$Z$150,COLUMN('Species Library'!M73),FALSE)), "",VLOOKUP($A77,'Species Library'!$A$6:$Z$150,COLUMN('Species Library'!M73),FALSE))</f>
        <v/>
      </c>
      <c r="P77" s="30" t="str">
        <f>IF(ISNA(VLOOKUP($A77,'Species Library'!$A$6:$Z$150,COLUMN('Species Library'!N73),FALSE)), "",VLOOKUP($A77,'Species Library'!$A$6:$Z$150,COLUMN('Species Library'!N73),FALSE))</f>
        <v/>
      </c>
      <c r="Q77" s="30" t="str">
        <f t="shared" si="6"/>
        <v/>
      </c>
      <c r="R77" s="30" t="str">
        <f>IF(ISNA(VLOOKUP($A77,'Species Library'!$A$6:$Z$150,COLUMN('Species Library'!O73),FALSE)), "",VLOOKUP($A77,'Species Library'!$A$6:$Z$150,COLUMN('Species Library'!O73),FALSE))</f>
        <v/>
      </c>
      <c r="S77" s="30" t="str">
        <f>IF(ISNA(VLOOKUP($A77,'Species Library'!$A$6:$Z$150,COLUMN('Species Library'!P73),FALSE)), "",VLOOKUP($A77,'Species Library'!$A$6:$Z$150,COLUMN('Species Library'!P73),FALSE))</f>
        <v/>
      </c>
      <c r="T77" s="30" t="str">
        <f>IF(ISNA(VLOOKUP($A77,'Species Library'!$A$6:$Z$150,COLUMN('Species Library'!Q73),FALSE)), "",VLOOKUP($A77,'Species Library'!$A$6:$Z$150,COLUMN('Species Library'!Q73),FALSE))</f>
        <v/>
      </c>
      <c r="U77" s="30" t="str">
        <f>IF(ISNA(VLOOKUP($A77,'Species Library'!$A$6:$Z$150,COLUMN('Species Library'!R73),FALSE)), "",VLOOKUP($A77,'Species Library'!$A$6:$Z$150,COLUMN('Species Library'!R73),FALSE))</f>
        <v/>
      </c>
      <c r="V77" s="30" t="str">
        <f>IF(ISNA(VLOOKUP($A77,'Species Library'!$A$6:$Z$150,COLUMN('Species Library'!S73),FALSE)), "",VLOOKUP($A77,'Species Library'!$A$6:$Z$150,COLUMN('Species Library'!S73),FALSE))</f>
        <v/>
      </c>
      <c r="W77" s="30" t="str">
        <f>IF(ISNA(VLOOKUP($A77,'Species Library'!$A$6:$Z$150,COLUMN('Species Library'!T73),FALSE)), "",VLOOKUP($A77,'Species Library'!$A$6:$Z$150,COLUMN('Species Library'!T73),FALSE))</f>
        <v/>
      </c>
      <c r="X77" s="30" t="str">
        <f t="shared" si="7"/>
        <v/>
      </c>
      <c r="Y77" s="30" t="str">
        <f>IF(ISNA(VLOOKUP($A77,'Species Library'!$A$6:$Z$150,COLUMN('Species Library'!U73),FALSE)), "",VLOOKUP($A77,'Species Library'!$A$6:$Z$150,COLUMN('Species Library'!U73),FALSE))</f>
        <v/>
      </c>
      <c r="Z77" s="30" t="str">
        <f>IF(ISNA(VLOOKUP($A77,'Species Library'!$A$6:$Z$150,COLUMN('Species Library'!V73),FALSE)), "",VLOOKUP($A77,'Species Library'!$A$6:$Z$150,COLUMN('Species Library'!V73),FALSE))</f>
        <v/>
      </c>
      <c r="AA77" s="30" t="str">
        <f>IF(ISNA(VLOOKUP($A77,'Species Library'!$A$6:$Z$150,COLUMN('Species Library'!W73),FALSE)), "",VLOOKUP($A77,'Species Library'!$A$6:$Z$150,COLUMN('Species Library'!W73),FALSE))</f>
        <v/>
      </c>
      <c r="AB77" s="30" t="str">
        <f>IF(ISNA(VLOOKUP($A77,'Species Library'!$A$6:$Z$150,COLUMN('Species Library'!X73),FALSE)), "",VLOOKUP($A77,'Species Library'!$A$6:$Z$150,COLUMN('Species Library'!X73),FALSE))</f>
        <v/>
      </c>
      <c r="AC77" s="30" t="str">
        <f>IF(ISNA(VLOOKUP($A77,'Species Library'!$A$6:$Z$150,COLUMN('Species Library'!Y73),FALSE)), "",VLOOKUP($A77,'Species Library'!$A$6:$Z$150,COLUMN('Species Library'!Y73),FALSE))</f>
        <v/>
      </c>
      <c r="AD77" s="30" t="str">
        <f>IF(ISNA(VLOOKUP($A77,'Species Library'!$A$6:$Z$150,COLUMN('Species Library'!Z73),FALSE)), "",VLOOKUP($A77,'Species Library'!$A$6:$Z$150,COLUMN('Species Library'!Z73),FALSE))</f>
        <v/>
      </c>
    </row>
    <row r="78" spans="2:30" x14ac:dyDescent="0.4">
      <c r="B78" s="30" t="str">
        <f>IF(ISNA(VLOOKUP($A78,'Species Library'!$A$6:$Z$150,COLUMN('Species Library'!B74),FALSE)), "",VLOOKUP($A78,'Species Library'!$A$6:$Z$150,COLUMN('Species Library'!B74),FALSE))</f>
        <v/>
      </c>
      <c r="C78" s="30" t="str">
        <f>IF(ISNA(VLOOKUP($A78,'Species Library'!$A$6:$Z$150,COLUMN('Species Library'!C74),FALSE)), "",VLOOKUP($A78,'Species Library'!$A$6:$Z$150,COLUMN('Species Library'!C74),FALSE))</f>
        <v/>
      </c>
      <c r="D78" s="30" t="str">
        <f>IF(ISNA(VLOOKUP($A78,'Species Library'!$A$6:$Z$150,COLUMN('Species Library'!D74),FALSE)), "",VLOOKUP($A78,'Species Library'!$A$6:$Z$150,COLUMN('Species Library'!D74),FALSE))</f>
        <v/>
      </c>
      <c r="E78" s="30" t="str">
        <f>IF(ISNA(VLOOKUP($A78,'Species Library'!$A$6:$Z$150,COLUMN('Species Library'!E74),FALSE)), "",VLOOKUP($A78,'Species Library'!$A$6:$Z$150,COLUMN('Species Library'!E74),FALSE))</f>
        <v/>
      </c>
      <c r="F78" s="30" t="str">
        <f>IF(ISNA(VLOOKUP($A78,'Species Library'!$A$6:$Z$150,COLUMN('Species Library'!F74),FALSE)), "",VLOOKUP($A78,'Species Library'!$A$6:$Z$150,COLUMN('Species Library'!F74),FALSE))</f>
        <v/>
      </c>
      <c r="G78" s="30" t="str">
        <f t="shared" si="4"/>
        <v/>
      </c>
      <c r="H78" s="30" t="str">
        <f>IF(ISNA(VLOOKUP($A78,'Species Library'!$A$6:$Z$150,COLUMN('Species Library'!G74),FALSE)), "",VLOOKUP($A78,'Species Library'!$A$6:$Z$150,COLUMN('Species Library'!G74),FALSE))</f>
        <v/>
      </c>
      <c r="I78" s="30" t="str">
        <f>IF(ISNA(VLOOKUP($A78,'Species Library'!$A$6:$Z$150,COLUMN('Species Library'!H74),FALSE)), "",VLOOKUP($A78,'Species Library'!$A$6:$Z$150,COLUMN('Species Library'!H74),FALSE))</f>
        <v/>
      </c>
      <c r="J78" s="30" t="str">
        <f>IF(ISNA(VLOOKUP($A78,'Species Library'!$A$6:$Z$150,COLUMN('Species Library'!I74),FALSE)), "",VLOOKUP($A78,'Species Library'!$A$6:$Z$150,COLUMN('Species Library'!I74),FALSE))</f>
        <v/>
      </c>
      <c r="K78" s="30" t="str">
        <f>IF(ISNA(VLOOKUP($A78,'Species Library'!$A$6:$Z$150,COLUMN('Species Library'!J74),FALSE)), "",VLOOKUP($A78,'Species Library'!$A$6:$Z$150,COLUMN('Species Library'!J74),FALSE))</f>
        <v/>
      </c>
      <c r="L78" s="30" t="str">
        <f>IF(ISNA(VLOOKUP($A78,'Species Library'!$A$6:$Z$150,COLUMN('Species Library'!K74),FALSE)), "",VLOOKUP($A78,'Species Library'!$A$6:$Z$150,COLUMN('Species Library'!K74),FALSE))</f>
        <v/>
      </c>
      <c r="M78" s="30" t="str">
        <f t="shared" si="5"/>
        <v/>
      </c>
      <c r="N78" s="30" t="str">
        <f>IF(ISNA(VLOOKUP($A78,'Species Library'!$A$6:$Z$150,COLUMN('Species Library'!L74),FALSE)), "",VLOOKUP($A78,'Species Library'!$A$6:$Z$150,COLUMN('Species Library'!L74),FALSE))</f>
        <v/>
      </c>
      <c r="O78" s="30" t="str">
        <f>IF(ISNA(VLOOKUP($A78,'Species Library'!$A$6:$Z$150,COLUMN('Species Library'!M74),FALSE)), "",VLOOKUP($A78,'Species Library'!$A$6:$Z$150,COLUMN('Species Library'!M74),FALSE))</f>
        <v/>
      </c>
      <c r="P78" s="30" t="str">
        <f>IF(ISNA(VLOOKUP($A78,'Species Library'!$A$6:$Z$150,COLUMN('Species Library'!N74),FALSE)), "",VLOOKUP($A78,'Species Library'!$A$6:$Z$150,COLUMN('Species Library'!N74),FALSE))</f>
        <v/>
      </c>
      <c r="Q78" s="30" t="str">
        <f t="shared" si="6"/>
        <v/>
      </c>
      <c r="R78" s="30" t="str">
        <f>IF(ISNA(VLOOKUP($A78,'Species Library'!$A$6:$Z$150,COLUMN('Species Library'!O74),FALSE)), "",VLOOKUP($A78,'Species Library'!$A$6:$Z$150,COLUMN('Species Library'!O74),FALSE))</f>
        <v/>
      </c>
      <c r="S78" s="30" t="str">
        <f>IF(ISNA(VLOOKUP($A78,'Species Library'!$A$6:$Z$150,COLUMN('Species Library'!P74),FALSE)), "",VLOOKUP($A78,'Species Library'!$A$6:$Z$150,COLUMN('Species Library'!P74),FALSE))</f>
        <v/>
      </c>
      <c r="T78" s="30" t="str">
        <f>IF(ISNA(VLOOKUP($A78,'Species Library'!$A$6:$Z$150,COLUMN('Species Library'!Q74),FALSE)), "",VLOOKUP($A78,'Species Library'!$A$6:$Z$150,COLUMN('Species Library'!Q74),FALSE))</f>
        <v/>
      </c>
      <c r="U78" s="30" t="str">
        <f>IF(ISNA(VLOOKUP($A78,'Species Library'!$A$6:$Z$150,COLUMN('Species Library'!R74),FALSE)), "",VLOOKUP($A78,'Species Library'!$A$6:$Z$150,COLUMN('Species Library'!R74),FALSE))</f>
        <v/>
      </c>
      <c r="V78" s="30" t="str">
        <f>IF(ISNA(VLOOKUP($A78,'Species Library'!$A$6:$Z$150,COLUMN('Species Library'!S74),FALSE)), "",VLOOKUP($A78,'Species Library'!$A$6:$Z$150,COLUMN('Species Library'!S74),FALSE))</f>
        <v/>
      </c>
      <c r="W78" s="30" t="str">
        <f>IF(ISNA(VLOOKUP($A78,'Species Library'!$A$6:$Z$150,COLUMN('Species Library'!T74),FALSE)), "",VLOOKUP($A78,'Species Library'!$A$6:$Z$150,COLUMN('Species Library'!T74),FALSE))</f>
        <v/>
      </c>
      <c r="X78" s="30" t="str">
        <f t="shared" si="7"/>
        <v/>
      </c>
      <c r="Y78" s="30" t="str">
        <f>IF(ISNA(VLOOKUP($A78,'Species Library'!$A$6:$Z$150,COLUMN('Species Library'!U74),FALSE)), "",VLOOKUP($A78,'Species Library'!$A$6:$Z$150,COLUMN('Species Library'!U74),FALSE))</f>
        <v/>
      </c>
      <c r="Z78" s="30" t="str">
        <f>IF(ISNA(VLOOKUP($A78,'Species Library'!$A$6:$Z$150,COLUMN('Species Library'!V74),FALSE)), "",VLOOKUP($A78,'Species Library'!$A$6:$Z$150,COLUMN('Species Library'!V74),FALSE))</f>
        <v/>
      </c>
      <c r="AA78" s="30" t="str">
        <f>IF(ISNA(VLOOKUP($A78,'Species Library'!$A$6:$Z$150,COLUMN('Species Library'!W74),FALSE)), "",VLOOKUP($A78,'Species Library'!$A$6:$Z$150,COLUMN('Species Library'!W74),FALSE))</f>
        <v/>
      </c>
      <c r="AB78" s="30" t="str">
        <f>IF(ISNA(VLOOKUP($A78,'Species Library'!$A$6:$Z$150,COLUMN('Species Library'!X74),FALSE)), "",VLOOKUP($A78,'Species Library'!$A$6:$Z$150,COLUMN('Species Library'!X74),FALSE))</f>
        <v/>
      </c>
      <c r="AC78" s="30" t="str">
        <f>IF(ISNA(VLOOKUP($A78,'Species Library'!$A$6:$Z$150,COLUMN('Species Library'!Y74),FALSE)), "",VLOOKUP($A78,'Species Library'!$A$6:$Z$150,COLUMN('Species Library'!Y74),FALSE))</f>
        <v/>
      </c>
      <c r="AD78" s="30" t="str">
        <f>IF(ISNA(VLOOKUP($A78,'Species Library'!$A$6:$Z$150,COLUMN('Species Library'!Z74),FALSE)), "",VLOOKUP($A78,'Species Library'!$A$6:$Z$150,COLUMN('Species Library'!Z74),FALSE))</f>
        <v/>
      </c>
    </row>
    <row r="79" spans="2:30" x14ac:dyDescent="0.4">
      <c r="B79" s="30" t="str">
        <f>IF(ISNA(VLOOKUP($A79,'Species Library'!$A$6:$Z$150,COLUMN('Species Library'!B75),FALSE)), "",VLOOKUP($A79,'Species Library'!$A$6:$Z$150,COLUMN('Species Library'!B75),FALSE))</f>
        <v/>
      </c>
      <c r="C79" s="30" t="str">
        <f>IF(ISNA(VLOOKUP($A79,'Species Library'!$A$6:$Z$150,COLUMN('Species Library'!C75),FALSE)), "",VLOOKUP($A79,'Species Library'!$A$6:$Z$150,COLUMN('Species Library'!C75),FALSE))</f>
        <v/>
      </c>
      <c r="D79" s="30" t="str">
        <f>IF(ISNA(VLOOKUP($A79,'Species Library'!$A$6:$Z$150,COLUMN('Species Library'!D75),FALSE)), "",VLOOKUP($A79,'Species Library'!$A$6:$Z$150,COLUMN('Species Library'!D75),FALSE))</f>
        <v/>
      </c>
      <c r="E79" s="30" t="str">
        <f>IF(ISNA(VLOOKUP($A79,'Species Library'!$A$6:$Z$150,COLUMN('Species Library'!E75),FALSE)), "",VLOOKUP($A79,'Species Library'!$A$6:$Z$150,COLUMN('Species Library'!E75),FALSE))</f>
        <v/>
      </c>
      <c r="F79" s="30" t="str">
        <f>IF(ISNA(VLOOKUP($A79,'Species Library'!$A$6:$Z$150,COLUMN('Species Library'!F75),FALSE)), "",VLOOKUP($A79,'Species Library'!$A$6:$Z$150,COLUMN('Species Library'!F75),FALSE))</f>
        <v/>
      </c>
      <c r="G79" s="30" t="str">
        <f t="shared" si="4"/>
        <v/>
      </c>
      <c r="H79" s="30" t="str">
        <f>IF(ISNA(VLOOKUP($A79,'Species Library'!$A$6:$Z$150,COLUMN('Species Library'!G75),FALSE)), "",VLOOKUP($A79,'Species Library'!$A$6:$Z$150,COLUMN('Species Library'!G75),FALSE))</f>
        <v/>
      </c>
      <c r="I79" s="30" t="str">
        <f>IF(ISNA(VLOOKUP($A79,'Species Library'!$A$6:$Z$150,COLUMN('Species Library'!H75),FALSE)), "",VLOOKUP($A79,'Species Library'!$A$6:$Z$150,COLUMN('Species Library'!H75),FALSE))</f>
        <v/>
      </c>
      <c r="J79" s="30" t="str">
        <f>IF(ISNA(VLOOKUP($A79,'Species Library'!$A$6:$Z$150,COLUMN('Species Library'!I75),FALSE)), "",VLOOKUP($A79,'Species Library'!$A$6:$Z$150,COLUMN('Species Library'!I75),FALSE))</f>
        <v/>
      </c>
      <c r="K79" s="30" t="str">
        <f>IF(ISNA(VLOOKUP($A79,'Species Library'!$A$6:$Z$150,COLUMN('Species Library'!J75),FALSE)), "",VLOOKUP($A79,'Species Library'!$A$6:$Z$150,COLUMN('Species Library'!J75),FALSE))</f>
        <v/>
      </c>
      <c r="L79" s="30" t="str">
        <f>IF(ISNA(VLOOKUP($A79,'Species Library'!$A$6:$Z$150,COLUMN('Species Library'!K75),FALSE)), "",VLOOKUP($A79,'Species Library'!$A$6:$Z$150,COLUMN('Species Library'!K75),FALSE))</f>
        <v/>
      </c>
      <c r="M79" s="30" t="str">
        <f t="shared" si="5"/>
        <v/>
      </c>
      <c r="N79" s="30" t="str">
        <f>IF(ISNA(VLOOKUP($A79,'Species Library'!$A$6:$Z$150,COLUMN('Species Library'!L75),FALSE)), "",VLOOKUP($A79,'Species Library'!$A$6:$Z$150,COLUMN('Species Library'!L75),FALSE))</f>
        <v/>
      </c>
      <c r="O79" s="30" t="str">
        <f>IF(ISNA(VLOOKUP($A79,'Species Library'!$A$6:$Z$150,COLUMN('Species Library'!M75),FALSE)), "",VLOOKUP($A79,'Species Library'!$A$6:$Z$150,COLUMN('Species Library'!M75),FALSE))</f>
        <v/>
      </c>
      <c r="P79" s="30" t="str">
        <f>IF(ISNA(VLOOKUP($A79,'Species Library'!$A$6:$Z$150,COLUMN('Species Library'!N75),FALSE)), "",VLOOKUP($A79,'Species Library'!$A$6:$Z$150,COLUMN('Species Library'!N75),FALSE))</f>
        <v/>
      </c>
      <c r="Q79" s="30" t="str">
        <f t="shared" si="6"/>
        <v/>
      </c>
      <c r="R79" s="30" t="str">
        <f>IF(ISNA(VLOOKUP($A79,'Species Library'!$A$6:$Z$150,COLUMN('Species Library'!O75),FALSE)), "",VLOOKUP($A79,'Species Library'!$A$6:$Z$150,COLUMN('Species Library'!O75),FALSE))</f>
        <v/>
      </c>
      <c r="S79" s="30" t="str">
        <f>IF(ISNA(VLOOKUP($A79,'Species Library'!$A$6:$Z$150,COLUMN('Species Library'!P75),FALSE)), "",VLOOKUP($A79,'Species Library'!$A$6:$Z$150,COLUMN('Species Library'!P75),FALSE))</f>
        <v/>
      </c>
      <c r="T79" s="30" t="str">
        <f>IF(ISNA(VLOOKUP($A79,'Species Library'!$A$6:$Z$150,COLUMN('Species Library'!Q75),FALSE)), "",VLOOKUP($A79,'Species Library'!$A$6:$Z$150,COLUMN('Species Library'!Q75),FALSE))</f>
        <v/>
      </c>
      <c r="U79" s="30" t="str">
        <f>IF(ISNA(VLOOKUP($A79,'Species Library'!$A$6:$Z$150,COLUMN('Species Library'!R75),FALSE)), "",VLOOKUP($A79,'Species Library'!$A$6:$Z$150,COLUMN('Species Library'!R75),FALSE))</f>
        <v/>
      </c>
      <c r="V79" s="30" t="str">
        <f>IF(ISNA(VLOOKUP($A79,'Species Library'!$A$6:$Z$150,COLUMN('Species Library'!S75),FALSE)), "",VLOOKUP($A79,'Species Library'!$A$6:$Z$150,COLUMN('Species Library'!S75),FALSE))</f>
        <v/>
      </c>
      <c r="W79" s="30" t="str">
        <f>IF(ISNA(VLOOKUP($A79,'Species Library'!$A$6:$Z$150,COLUMN('Species Library'!T75),FALSE)), "",VLOOKUP($A79,'Species Library'!$A$6:$Z$150,COLUMN('Species Library'!T75),FALSE))</f>
        <v/>
      </c>
      <c r="X79" s="30" t="str">
        <f t="shared" si="7"/>
        <v/>
      </c>
      <c r="Y79" s="30" t="str">
        <f>IF(ISNA(VLOOKUP($A79,'Species Library'!$A$6:$Z$150,COLUMN('Species Library'!U75),FALSE)), "",VLOOKUP($A79,'Species Library'!$A$6:$Z$150,COLUMN('Species Library'!U75),FALSE))</f>
        <v/>
      </c>
      <c r="Z79" s="30" t="str">
        <f>IF(ISNA(VLOOKUP($A79,'Species Library'!$A$6:$Z$150,COLUMN('Species Library'!V75),FALSE)), "",VLOOKUP($A79,'Species Library'!$A$6:$Z$150,COLUMN('Species Library'!V75),FALSE))</f>
        <v/>
      </c>
      <c r="AA79" s="30" t="str">
        <f>IF(ISNA(VLOOKUP($A79,'Species Library'!$A$6:$Z$150,COLUMN('Species Library'!W75),FALSE)), "",VLOOKUP($A79,'Species Library'!$A$6:$Z$150,COLUMN('Species Library'!W75),FALSE))</f>
        <v/>
      </c>
      <c r="AB79" s="30" t="str">
        <f>IF(ISNA(VLOOKUP($A79,'Species Library'!$A$6:$Z$150,COLUMN('Species Library'!X75),FALSE)), "",VLOOKUP($A79,'Species Library'!$A$6:$Z$150,COLUMN('Species Library'!X75),FALSE))</f>
        <v/>
      </c>
      <c r="AC79" s="30" t="str">
        <f>IF(ISNA(VLOOKUP($A79,'Species Library'!$A$6:$Z$150,COLUMN('Species Library'!Y75),FALSE)), "",VLOOKUP($A79,'Species Library'!$A$6:$Z$150,COLUMN('Species Library'!Y75),FALSE))</f>
        <v/>
      </c>
      <c r="AD79" s="30" t="str">
        <f>IF(ISNA(VLOOKUP($A79,'Species Library'!$A$6:$Z$150,COLUMN('Species Library'!Z75),FALSE)), "",VLOOKUP($A79,'Species Library'!$A$6:$Z$150,COLUMN('Species Library'!Z75),FALSE))</f>
        <v/>
      </c>
    </row>
    <row r="80" spans="2:30" x14ac:dyDescent="0.4">
      <c r="B80" s="30" t="str">
        <f>IF(ISNA(VLOOKUP($A80,'Species Library'!$A$6:$Z$150,COLUMN('Species Library'!B76),FALSE)), "",VLOOKUP($A80,'Species Library'!$A$6:$Z$150,COLUMN('Species Library'!B76),FALSE))</f>
        <v/>
      </c>
      <c r="C80" s="30" t="str">
        <f>IF(ISNA(VLOOKUP($A80,'Species Library'!$A$6:$Z$150,COLUMN('Species Library'!C76),FALSE)), "",VLOOKUP($A80,'Species Library'!$A$6:$Z$150,COLUMN('Species Library'!C76),FALSE))</f>
        <v/>
      </c>
      <c r="D80" s="30" t="str">
        <f>IF(ISNA(VLOOKUP($A80,'Species Library'!$A$6:$Z$150,COLUMN('Species Library'!D76),FALSE)), "",VLOOKUP($A80,'Species Library'!$A$6:$Z$150,COLUMN('Species Library'!D76),FALSE))</f>
        <v/>
      </c>
      <c r="E80" s="30" t="str">
        <f>IF(ISNA(VLOOKUP($A80,'Species Library'!$A$6:$Z$150,COLUMN('Species Library'!E76),FALSE)), "",VLOOKUP($A80,'Species Library'!$A$6:$Z$150,COLUMN('Species Library'!E76),FALSE))</f>
        <v/>
      </c>
      <c r="F80" s="30" t="str">
        <f>IF(ISNA(VLOOKUP($A80,'Species Library'!$A$6:$Z$150,COLUMN('Species Library'!F76),FALSE)), "",VLOOKUP($A80,'Species Library'!$A$6:$Z$150,COLUMN('Species Library'!F76),FALSE))</f>
        <v/>
      </c>
      <c r="G80" s="30" t="str">
        <f t="shared" si="4"/>
        <v/>
      </c>
      <c r="H80" s="30" t="str">
        <f>IF(ISNA(VLOOKUP($A80,'Species Library'!$A$6:$Z$150,COLUMN('Species Library'!G76),FALSE)), "",VLOOKUP($A80,'Species Library'!$A$6:$Z$150,COLUMN('Species Library'!G76),FALSE))</f>
        <v/>
      </c>
      <c r="I80" s="30" t="str">
        <f>IF(ISNA(VLOOKUP($A80,'Species Library'!$A$6:$Z$150,COLUMN('Species Library'!H76),FALSE)), "",VLOOKUP($A80,'Species Library'!$A$6:$Z$150,COLUMN('Species Library'!H76),FALSE))</f>
        <v/>
      </c>
      <c r="J80" s="30" t="str">
        <f>IF(ISNA(VLOOKUP($A80,'Species Library'!$A$6:$Z$150,COLUMN('Species Library'!I76),FALSE)), "",VLOOKUP($A80,'Species Library'!$A$6:$Z$150,COLUMN('Species Library'!I76),FALSE))</f>
        <v/>
      </c>
      <c r="K80" s="30" t="str">
        <f>IF(ISNA(VLOOKUP($A80,'Species Library'!$A$6:$Z$150,COLUMN('Species Library'!J76),FALSE)), "",VLOOKUP($A80,'Species Library'!$A$6:$Z$150,COLUMN('Species Library'!J76),FALSE))</f>
        <v/>
      </c>
      <c r="L80" s="30" t="str">
        <f>IF(ISNA(VLOOKUP($A80,'Species Library'!$A$6:$Z$150,COLUMN('Species Library'!K76),FALSE)), "",VLOOKUP($A80,'Species Library'!$A$6:$Z$150,COLUMN('Species Library'!K76),FALSE))</f>
        <v/>
      </c>
      <c r="M80" s="30" t="str">
        <f t="shared" si="5"/>
        <v/>
      </c>
      <c r="N80" s="30" t="str">
        <f>IF(ISNA(VLOOKUP($A80,'Species Library'!$A$6:$Z$150,COLUMN('Species Library'!L76),FALSE)), "",VLOOKUP($A80,'Species Library'!$A$6:$Z$150,COLUMN('Species Library'!L76),FALSE))</f>
        <v/>
      </c>
      <c r="O80" s="30" t="str">
        <f>IF(ISNA(VLOOKUP($A80,'Species Library'!$A$6:$Z$150,COLUMN('Species Library'!M76),FALSE)), "",VLOOKUP($A80,'Species Library'!$A$6:$Z$150,COLUMN('Species Library'!M76),FALSE))</f>
        <v/>
      </c>
      <c r="P80" s="30" t="str">
        <f>IF(ISNA(VLOOKUP($A80,'Species Library'!$A$6:$Z$150,COLUMN('Species Library'!N76),FALSE)), "",VLOOKUP($A80,'Species Library'!$A$6:$Z$150,COLUMN('Species Library'!N76),FALSE))</f>
        <v/>
      </c>
      <c r="Q80" s="30" t="str">
        <f t="shared" si="6"/>
        <v/>
      </c>
      <c r="R80" s="30" t="str">
        <f>IF(ISNA(VLOOKUP($A80,'Species Library'!$A$6:$Z$150,COLUMN('Species Library'!O76),FALSE)), "",VLOOKUP($A80,'Species Library'!$A$6:$Z$150,COLUMN('Species Library'!O76),FALSE))</f>
        <v/>
      </c>
      <c r="S80" s="30" t="str">
        <f>IF(ISNA(VLOOKUP($A80,'Species Library'!$A$6:$Z$150,COLUMN('Species Library'!P76),FALSE)), "",VLOOKUP($A80,'Species Library'!$A$6:$Z$150,COLUMN('Species Library'!P76),FALSE))</f>
        <v/>
      </c>
      <c r="T80" s="30" t="str">
        <f>IF(ISNA(VLOOKUP($A80,'Species Library'!$A$6:$Z$150,COLUMN('Species Library'!Q76),FALSE)), "",VLOOKUP($A80,'Species Library'!$A$6:$Z$150,COLUMN('Species Library'!Q76),FALSE))</f>
        <v/>
      </c>
      <c r="U80" s="30" t="str">
        <f>IF(ISNA(VLOOKUP($A80,'Species Library'!$A$6:$Z$150,COLUMN('Species Library'!R76),FALSE)), "",VLOOKUP($A80,'Species Library'!$A$6:$Z$150,COLUMN('Species Library'!R76),FALSE))</f>
        <v/>
      </c>
      <c r="V80" s="30" t="str">
        <f>IF(ISNA(VLOOKUP($A80,'Species Library'!$A$6:$Z$150,COLUMN('Species Library'!S76),FALSE)), "",VLOOKUP($A80,'Species Library'!$A$6:$Z$150,COLUMN('Species Library'!S76),FALSE))</f>
        <v/>
      </c>
      <c r="W80" s="30" t="str">
        <f>IF(ISNA(VLOOKUP($A80,'Species Library'!$A$6:$Z$150,COLUMN('Species Library'!T76),FALSE)), "",VLOOKUP($A80,'Species Library'!$A$6:$Z$150,COLUMN('Species Library'!T76),FALSE))</f>
        <v/>
      </c>
      <c r="X80" s="30" t="str">
        <f t="shared" si="7"/>
        <v/>
      </c>
      <c r="Y80" s="30" t="str">
        <f>IF(ISNA(VLOOKUP($A80,'Species Library'!$A$6:$Z$150,COLUMN('Species Library'!U76),FALSE)), "",VLOOKUP($A80,'Species Library'!$A$6:$Z$150,COLUMN('Species Library'!U76),FALSE))</f>
        <v/>
      </c>
      <c r="Z80" s="30" t="str">
        <f>IF(ISNA(VLOOKUP($A80,'Species Library'!$A$6:$Z$150,COLUMN('Species Library'!V76),FALSE)), "",VLOOKUP($A80,'Species Library'!$A$6:$Z$150,COLUMN('Species Library'!V76),FALSE))</f>
        <v/>
      </c>
      <c r="AA80" s="30" t="str">
        <f>IF(ISNA(VLOOKUP($A80,'Species Library'!$A$6:$Z$150,COLUMN('Species Library'!W76),FALSE)), "",VLOOKUP($A80,'Species Library'!$A$6:$Z$150,COLUMN('Species Library'!W76),FALSE))</f>
        <v/>
      </c>
      <c r="AB80" s="30" t="str">
        <f>IF(ISNA(VLOOKUP($A80,'Species Library'!$A$6:$Z$150,COLUMN('Species Library'!X76),FALSE)), "",VLOOKUP($A80,'Species Library'!$A$6:$Z$150,COLUMN('Species Library'!X76),FALSE))</f>
        <v/>
      </c>
      <c r="AC80" s="30" t="str">
        <f>IF(ISNA(VLOOKUP($A80,'Species Library'!$A$6:$Z$150,COLUMN('Species Library'!Y76),FALSE)), "",VLOOKUP($A80,'Species Library'!$A$6:$Z$150,COLUMN('Species Library'!Y76),FALSE))</f>
        <v/>
      </c>
      <c r="AD80" s="30" t="str">
        <f>IF(ISNA(VLOOKUP($A80,'Species Library'!$A$6:$Z$150,COLUMN('Species Library'!Z76),FALSE)), "",VLOOKUP($A80,'Species Library'!$A$6:$Z$150,COLUMN('Species Library'!Z76),FALSE))</f>
        <v/>
      </c>
    </row>
    <row r="81" spans="2:30" x14ac:dyDescent="0.4">
      <c r="B81" s="30" t="str">
        <f>IF(ISNA(VLOOKUP($A81,'Species Library'!$A$6:$Z$150,COLUMN('Species Library'!B77),FALSE)), "",VLOOKUP($A81,'Species Library'!$A$6:$Z$150,COLUMN('Species Library'!B77),FALSE))</f>
        <v/>
      </c>
      <c r="C81" s="30" t="str">
        <f>IF(ISNA(VLOOKUP($A81,'Species Library'!$A$6:$Z$150,COLUMN('Species Library'!C77),FALSE)), "",VLOOKUP($A81,'Species Library'!$A$6:$Z$150,COLUMN('Species Library'!C77),FALSE))</f>
        <v/>
      </c>
      <c r="D81" s="30" t="str">
        <f>IF(ISNA(VLOOKUP($A81,'Species Library'!$A$6:$Z$150,COLUMN('Species Library'!D77),FALSE)), "",VLOOKUP($A81,'Species Library'!$A$6:$Z$150,COLUMN('Species Library'!D77),FALSE))</f>
        <v/>
      </c>
      <c r="E81" s="30" t="str">
        <f>IF(ISNA(VLOOKUP($A81,'Species Library'!$A$6:$Z$150,COLUMN('Species Library'!E77),FALSE)), "",VLOOKUP($A81,'Species Library'!$A$6:$Z$150,COLUMN('Species Library'!E77),FALSE))</f>
        <v/>
      </c>
      <c r="F81" s="30" t="str">
        <f>IF(ISNA(VLOOKUP($A81,'Species Library'!$A$6:$Z$150,COLUMN('Species Library'!F77),FALSE)), "",VLOOKUP($A81,'Species Library'!$A$6:$Z$150,COLUMN('Species Library'!F77),FALSE))</f>
        <v/>
      </c>
      <c r="G81" s="30" t="str">
        <f t="shared" si="4"/>
        <v/>
      </c>
      <c r="H81" s="30" t="str">
        <f>IF(ISNA(VLOOKUP($A81,'Species Library'!$A$6:$Z$150,COLUMN('Species Library'!G77),FALSE)), "",VLOOKUP($A81,'Species Library'!$A$6:$Z$150,COLUMN('Species Library'!G77),FALSE))</f>
        <v/>
      </c>
      <c r="I81" s="30" t="str">
        <f>IF(ISNA(VLOOKUP($A81,'Species Library'!$A$6:$Z$150,COLUMN('Species Library'!H77),FALSE)), "",VLOOKUP($A81,'Species Library'!$A$6:$Z$150,COLUMN('Species Library'!H77),FALSE))</f>
        <v/>
      </c>
      <c r="J81" s="30" t="str">
        <f>IF(ISNA(VLOOKUP($A81,'Species Library'!$A$6:$Z$150,COLUMN('Species Library'!I77),FALSE)), "",VLOOKUP($A81,'Species Library'!$A$6:$Z$150,COLUMN('Species Library'!I77),FALSE))</f>
        <v/>
      </c>
      <c r="K81" s="30" t="str">
        <f>IF(ISNA(VLOOKUP($A81,'Species Library'!$A$6:$Z$150,COLUMN('Species Library'!J77),FALSE)), "",VLOOKUP($A81,'Species Library'!$A$6:$Z$150,COLUMN('Species Library'!J77),FALSE))</f>
        <v/>
      </c>
      <c r="L81" s="30" t="str">
        <f>IF(ISNA(VLOOKUP($A81,'Species Library'!$A$6:$Z$150,COLUMN('Species Library'!K77),FALSE)), "",VLOOKUP($A81,'Species Library'!$A$6:$Z$150,COLUMN('Species Library'!K77),FALSE))</f>
        <v/>
      </c>
      <c r="M81" s="30" t="str">
        <f t="shared" si="5"/>
        <v/>
      </c>
      <c r="N81" s="30" t="str">
        <f>IF(ISNA(VLOOKUP($A81,'Species Library'!$A$6:$Z$150,COLUMN('Species Library'!L77),FALSE)), "",VLOOKUP($A81,'Species Library'!$A$6:$Z$150,COLUMN('Species Library'!L77),FALSE))</f>
        <v/>
      </c>
      <c r="O81" s="30" t="str">
        <f>IF(ISNA(VLOOKUP($A81,'Species Library'!$A$6:$Z$150,COLUMN('Species Library'!M77),FALSE)), "",VLOOKUP($A81,'Species Library'!$A$6:$Z$150,COLUMN('Species Library'!M77),FALSE))</f>
        <v/>
      </c>
      <c r="P81" s="30" t="str">
        <f>IF(ISNA(VLOOKUP($A81,'Species Library'!$A$6:$Z$150,COLUMN('Species Library'!N77),FALSE)), "",VLOOKUP($A81,'Species Library'!$A$6:$Z$150,COLUMN('Species Library'!N77),FALSE))</f>
        <v/>
      </c>
      <c r="Q81" s="30" t="str">
        <f t="shared" si="6"/>
        <v/>
      </c>
      <c r="R81" s="30" t="str">
        <f>IF(ISNA(VLOOKUP($A81,'Species Library'!$A$6:$Z$150,COLUMN('Species Library'!O77),FALSE)), "",VLOOKUP($A81,'Species Library'!$A$6:$Z$150,COLUMN('Species Library'!O77),FALSE))</f>
        <v/>
      </c>
      <c r="S81" s="30" t="str">
        <f>IF(ISNA(VLOOKUP($A81,'Species Library'!$A$6:$Z$150,COLUMN('Species Library'!P77),FALSE)), "",VLOOKUP($A81,'Species Library'!$A$6:$Z$150,COLUMN('Species Library'!P77),FALSE))</f>
        <v/>
      </c>
      <c r="T81" s="30" t="str">
        <f>IF(ISNA(VLOOKUP($A81,'Species Library'!$A$6:$Z$150,COLUMN('Species Library'!Q77),FALSE)), "",VLOOKUP($A81,'Species Library'!$A$6:$Z$150,COLUMN('Species Library'!Q77),FALSE))</f>
        <v/>
      </c>
      <c r="U81" s="30" t="str">
        <f>IF(ISNA(VLOOKUP($A81,'Species Library'!$A$6:$Z$150,COLUMN('Species Library'!R77),FALSE)), "",VLOOKUP($A81,'Species Library'!$A$6:$Z$150,COLUMN('Species Library'!R77),FALSE))</f>
        <v/>
      </c>
      <c r="V81" s="30" t="str">
        <f>IF(ISNA(VLOOKUP($A81,'Species Library'!$A$6:$Z$150,COLUMN('Species Library'!S77),FALSE)), "",VLOOKUP($A81,'Species Library'!$A$6:$Z$150,COLUMN('Species Library'!S77),FALSE))</f>
        <v/>
      </c>
      <c r="W81" s="30" t="str">
        <f>IF(ISNA(VLOOKUP($A81,'Species Library'!$A$6:$Z$150,COLUMN('Species Library'!T77),FALSE)), "",VLOOKUP($A81,'Species Library'!$A$6:$Z$150,COLUMN('Species Library'!T77),FALSE))</f>
        <v/>
      </c>
      <c r="X81" s="30" t="str">
        <f t="shared" si="7"/>
        <v/>
      </c>
      <c r="Y81" s="30" t="str">
        <f>IF(ISNA(VLOOKUP($A81,'Species Library'!$A$6:$Z$150,COLUMN('Species Library'!U77),FALSE)), "",VLOOKUP($A81,'Species Library'!$A$6:$Z$150,COLUMN('Species Library'!U77),FALSE))</f>
        <v/>
      </c>
      <c r="Z81" s="30" t="str">
        <f>IF(ISNA(VLOOKUP($A81,'Species Library'!$A$6:$Z$150,COLUMN('Species Library'!V77),FALSE)), "",VLOOKUP($A81,'Species Library'!$A$6:$Z$150,COLUMN('Species Library'!V77),FALSE))</f>
        <v/>
      </c>
      <c r="AA81" s="30" t="str">
        <f>IF(ISNA(VLOOKUP($A81,'Species Library'!$A$6:$Z$150,COLUMN('Species Library'!W77),FALSE)), "",VLOOKUP($A81,'Species Library'!$A$6:$Z$150,COLUMN('Species Library'!W77),FALSE))</f>
        <v/>
      </c>
      <c r="AB81" s="30" t="str">
        <f>IF(ISNA(VLOOKUP($A81,'Species Library'!$A$6:$Z$150,COLUMN('Species Library'!X77),FALSE)), "",VLOOKUP($A81,'Species Library'!$A$6:$Z$150,COLUMN('Species Library'!X77),FALSE))</f>
        <v/>
      </c>
      <c r="AC81" s="30" t="str">
        <f>IF(ISNA(VLOOKUP($A81,'Species Library'!$A$6:$Z$150,COLUMN('Species Library'!Y77),FALSE)), "",VLOOKUP($A81,'Species Library'!$A$6:$Z$150,COLUMN('Species Library'!Y77),FALSE))</f>
        <v/>
      </c>
      <c r="AD81" s="30" t="str">
        <f>IF(ISNA(VLOOKUP($A81,'Species Library'!$A$6:$Z$150,COLUMN('Species Library'!Z77),FALSE)), "",VLOOKUP($A81,'Species Library'!$A$6:$Z$150,COLUMN('Species Library'!Z77),FALSE))</f>
        <v/>
      </c>
    </row>
    <row r="82" spans="2:30" x14ac:dyDescent="0.4">
      <c r="B82" s="30" t="str">
        <f>IF(ISNA(VLOOKUP($A82,'Species Library'!$A$6:$Z$150,COLUMN('Species Library'!B78),FALSE)), "",VLOOKUP($A82,'Species Library'!$A$6:$Z$150,COLUMN('Species Library'!B78),FALSE))</f>
        <v/>
      </c>
      <c r="C82" s="30" t="str">
        <f>IF(ISNA(VLOOKUP($A82,'Species Library'!$A$6:$Z$150,COLUMN('Species Library'!C78),FALSE)), "",VLOOKUP($A82,'Species Library'!$A$6:$Z$150,COLUMN('Species Library'!C78),FALSE))</f>
        <v/>
      </c>
      <c r="D82" s="30" t="str">
        <f>IF(ISNA(VLOOKUP($A82,'Species Library'!$A$6:$Z$150,COLUMN('Species Library'!D78),FALSE)), "",VLOOKUP($A82,'Species Library'!$A$6:$Z$150,COLUMN('Species Library'!D78),FALSE))</f>
        <v/>
      </c>
      <c r="E82" s="30" t="str">
        <f>IF(ISNA(VLOOKUP($A82,'Species Library'!$A$6:$Z$150,COLUMN('Species Library'!E78),FALSE)), "",VLOOKUP($A82,'Species Library'!$A$6:$Z$150,COLUMN('Species Library'!E78),FALSE))</f>
        <v/>
      </c>
      <c r="F82" s="30" t="str">
        <f>IF(ISNA(VLOOKUP($A82,'Species Library'!$A$6:$Z$150,COLUMN('Species Library'!F78),FALSE)), "",VLOOKUP($A82,'Species Library'!$A$6:$Z$150,COLUMN('Species Library'!F78),FALSE))</f>
        <v/>
      </c>
      <c r="G82" s="30" t="str">
        <f t="shared" si="4"/>
        <v/>
      </c>
      <c r="H82" s="30" t="str">
        <f>IF(ISNA(VLOOKUP($A82,'Species Library'!$A$6:$Z$150,COLUMN('Species Library'!G78),FALSE)), "",VLOOKUP($A82,'Species Library'!$A$6:$Z$150,COLUMN('Species Library'!G78),FALSE))</f>
        <v/>
      </c>
      <c r="I82" s="30" t="str">
        <f>IF(ISNA(VLOOKUP($A82,'Species Library'!$A$6:$Z$150,COLUMN('Species Library'!H78),FALSE)), "",VLOOKUP($A82,'Species Library'!$A$6:$Z$150,COLUMN('Species Library'!H78),FALSE))</f>
        <v/>
      </c>
      <c r="J82" s="30" t="str">
        <f>IF(ISNA(VLOOKUP($A82,'Species Library'!$A$6:$Z$150,COLUMN('Species Library'!I78),FALSE)), "",VLOOKUP($A82,'Species Library'!$A$6:$Z$150,COLUMN('Species Library'!I78),FALSE))</f>
        <v/>
      </c>
      <c r="K82" s="30" t="str">
        <f>IF(ISNA(VLOOKUP($A82,'Species Library'!$A$6:$Z$150,COLUMN('Species Library'!J78),FALSE)), "",VLOOKUP($A82,'Species Library'!$A$6:$Z$150,COLUMN('Species Library'!J78),FALSE))</f>
        <v/>
      </c>
      <c r="L82" s="30" t="str">
        <f>IF(ISNA(VLOOKUP($A82,'Species Library'!$A$6:$Z$150,COLUMN('Species Library'!K78),FALSE)), "",VLOOKUP($A82,'Species Library'!$A$6:$Z$150,COLUMN('Species Library'!K78),FALSE))</f>
        <v/>
      </c>
      <c r="M82" s="30" t="str">
        <f t="shared" si="5"/>
        <v/>
      </c>
      <c r="N82" s="30" t="str">
        <f>IF(ISNA(VLOOKUP($A82,'Species Library'!$A$6:$Z$150,COLUMN('Species Library'!L78),FALSE)), "",VLOOKUP($A82,'Species Library'!$A$6:$Z$150,COLUMN('Species Library'!L78),FALSE))</f>
        <v/>
      </c>
      <c r="O82" s="30" t="str">
        <f>IF(ISNA(VLOOKUP($A82,'Species Library'!$A$6:$Z$150,COLUMN('Species Library'!M78),FALSE)), "",VLOOKUP($A82,'Species Library'!$A$6:$Z$150,COLUMN('Species Library'!M78),FALSE))</f>
        <v/>
      </c>
      <c r="P82" s="30" t="str">
        <f>IF(ISNA(VLOOKUP($A82,'Species Library'!$A$6:$Z$150,COLUMN('Species Library'!N78),FALSE)), "",VLOOKUP($A82,'Species Library'!$A$6:$Z$150,COLUMN('Species Library'!N78),FALSE))</f>
        <v/>
      </c>
      <c r="Q82" s="30" t="str">
        <f t="shared" si="6"/>
        <v/>
      </c>
      <c r="R82" s="30" t="str">
        <f>IF(ISNA(VLOOKUP($A82,'Species Library'!$A$6:$Z$150,COLUMN('Species Library'!O78),FALSE)), "",VLOOKUP($A82,'Species Library'!$A$6:$Z$150,COLUMN('Species Library'!O78),FALSE))</f>
        <v/>
      </c>
      <c r="S82" s="30" t="str">
        <f>IF(ISNA(VLOOKUP($A82,'Species Library'!$A$6:$Z$150,COLUMN('Species Library'!P78),FALSE)), "",VLOOKUP($A82,'Species Library'!$A$6:$Z$150,COLUMN('Species Library'!P78),FALSE))</f>
        <v/>
      </c>
      <c r="T82" s="30" t="str">
        <f>IF(ISNA(VLOOKUP($A82,'Species Library'!$A$6:$Z$150,COLUMN('Species Library'!Q78),FALSE)), "",VLOOKUP($A82,'Species Library'!$A$6:$Z$150,COLUMN('Species Library'!Q78),FALSE))</f>
        <v/>
      </c>
      <c r="U82" s="30" t="str">
        <f>IF(ISNA(VLOOKUP($A82,'Species Library'!$A$6:$Z$150,COLUMN('Species Library'!R78),FALSE)), "",VLOOKUP($A82,'Species Library'!$A$6:$Z$150,COLUMN('Species Library'!R78),FALSE))</f>
        <v/>
      </c>
      <c r="V82" s="30" t="str">
        <f>IF(ISNA(VLOOKUP($A82,'Species Library'!$A$6:$Z$150,COLUMN('Species Library'!S78),FALSE)), "",VLOOKUP($A82,'Species Library'!$A$6:$Z$150,COLUMN('Species Library'!S78),FALSE))</f>
        <v/>
      </c>
      <c r="W82" s="30" t="str">
        <f>IF(ISNA(VLOOKUP($A82,'Species Library'!$A$6:$Z$150,COLUMN('Species Library'!T78),FALSE)), "",VLOOKUP($A82,'Species Library'!$A$6:$Z$150,COLUMN('Species Library'!T78),FALSE))</f>
        <v/>
      </c>
      <c r="X82" s="30" t="str">
        <f t="shared" si="7"/>
        <v/>
      </c>
      <c r="Y82" s="30" t="str">
        <f>IF(ISNA(VLOOKUP($A82,'Species Library'!$A$6:$Z$150,COLUMN('Species Library'!U78),FALSE)), "",VLOOKUP($A82,'Species Library'!$A$6:$Z$150,COLUMN('Species Library'!U78),FALSE))</f>
        <v/>
      </c>
      <c r="Z82" s="30" t="str">
        <f>IF(ISNA(VLOOKUP($A82,'Species Library'!$A$6:$Z$150,COLUMN('Species Library'!V78),FALSE)), "",VLOOKUP($A82,'Species Library'!$A$6:$Z$150,COLUMN('Species Library'!V78),FALSE))</f>
        <v/>
      </c>
      <c r="AA82" s="30" t="str">
        <f>IF(ISNA(VLOOKUP($A82,'Species Library'!$A$6:$Z$150,COLUMN('Species Library'!W78),FALSE)), "",VLOOKUP($A82,'Species Library'!$A$6:$Z$150,COLUMN('Species Library'!W78),FALSE))</f>
        <v/>
      </c>
      <c r="AB82" s="30" t="str">
        <f>IF(ISNA(VLOOKUP($A82,'Species Library'!$A$6:$Z$150,COLUMN('Species Library'!X78),FALSE)), "",VLOOKUP($A82,'Species Library'!$A$6:$Z$150,COLUMN('Species Library'!X78),FALSE))</f>
        <v/>
      </c>
      <c r="AC82" s="30" t="str">
        <f>IF(ISNA(VLOOKUP($A82,'Species Library'!$A$6:$Z$150,COLUMN('Species Library'!Y78),FALSE)), "",VLOOKUP($A82,'Species Library'!$A$6:$Z$150,COLUMN('Species Library'!Y78),FALSE))</f>
        <v/>
      </c>
      <c r="AD82" s="30" t="str">
        <f>IF(ISNA(VLOOKUP($A82,'Species Library'!$A$6:$Z$150,COLUMN('Species Library'!Z78),FALSE)), "",VLOOKUP($A82,'Species Library'!$A$6:$Z$150,COLUMN('Species Library'!Z78),FALSE))</f>
        <v/>
      </c>
    </row>
    <row r="83" spans="2:30" x14ac:dyDescent="0.4">
      <c r="B83" s="30" t="str">
        <f>IF(ISNA(VLOOKUP($A83,'Species Library'!$A$6:$Z$150,COLUMN('Species Library'!B79),FALSE)), "",VLOOKUP($A83,'Species Library'!$A$6:$Z$150,COLUMN('Species Library'!B79),FALSE))</f>
        <v/>
      </c>
      <c r="C83" s="30" t="str">
        <f>IF(ISNA(VLOOKUP($A83,'Species Library'!$A$6:$Z$150,COLUMN('Species Library'!C79),FALSE)), "",VLOOKUP($A83,'Species Library'!$A$6:$Z$150,COLUMN('Species Library'!C79),FALSE))</f>
        <v/>
      </c>
      <c r="D83" s="30" t="str">
        <f>IF(ISNA(VLOOKUP($A83,'Species Library'!$A$6:$Z$150,COLUMN('Species Library'!D79),FALSE)), "",VLOOKUP($A83,'Species Library'!$A$6:$Z$150,COLUMN('Species Library'!D79),FALSE))</f>
        <v/>
      </c>
      <c r="E83" s="30" t="str">
        <f>IF(ISNA(VLOOKUP($A83,'Species Library'!$A$6:$Z$150,COLUMN('Species Library'!E79),FALSE)), "",VLOOKUP($A83,'Species Library'!$A$6:$Z$150,COLUMN('Species Library'!E79),FALSE))</f>
        <v/>
      </c>
      <c r="F83" s="30" t="str">
        <f>IF(ISNA(VLOOKUP($A83,'Species Library'!$A$6:$Z$150,COLUMN('Species Library'!F79),FALSE)), "",VLOOKUP($A83,'Species Library'!$A$6:$Z$150,COLUMN('Species Library'!F79),FALSE))</f>
        <v/>
      </c>
      <c r="G83" s="30" t="str">
        <f t="shared" si="4"/>
        <v/>
      </c>
      <c r="H83" s="30" t="str">
        <f>IF(ISNA(VLOOKUP($A83,'Species Library'!$A$6:$Z$150,COLUMN('Species Library'!G79),FALSE)), "",VLOOKUP($A83,'Species Library'!$A$6:$Z$150,COLUMN('Species Library'!G79),FALSE))</f>
        <v/>
      </c>
      <c r="I83" s="30" t="str">
        <f>IF(ISNA(VLOOKUP($A83,'Species Library'!$A$6:$Z$150,COLUMN('Species Library'!H79),FALSE)), "",VLOOKUP($A83,'Species Library'!$A$6:$Z$150,COLUMN('Species Library'!H79),FALSE))</f>
        <v/>
      </c>
      <c r="J83" s="30" t="str">
        <f>IF(ISNA(VLOOKUP($A83,'Species Library'!$A$6:$Z$150,COLUMN('Species Library'!I79),FALSE)), "",VLOOKUP($A83,'Species Library'!$A$6:$Z$150,COLUMN('Species Library'!I79),FALSE))</f>
        <v/>
      </c>
      <c r="K83" s="30" t="str">
        <f>IF(ISNA(VLOOKUP($A83,'Species Library'!$A$6:$Z$150,COLUMN('Species Library'!J79),FALSE)), "",VLOOKUP($A83,'Species Library'!$A$6:$Z$150,COLUMN('Species Library'!J79),FALSE))</f>
        <v/>
      </c>
      <c r="L83" s="30" t="str">
        <f>IF(ISNA(VLOOKUP($A83,'Species Library'!$A$6:$Z$150,COLUMN('Species Library'!K79),FALSE)), "",VLOOKUP($A83,'Species Library'!$A$6:$Z$150,COLUMN('Species Library'!K79),FALSE))</f>
        <v/>
      </c>
      <c r="M83" s="30" t="str">
        <f t="shared" si="5"/>
        <v/>
      </c>
      <c r="N83" s="30" t="str">
        <f>IF(ISNA(VLOOKUP($A83,'Species Library'!$A$6:$Z$150,COLUMN('Species Library'!L79),FALSE)), "",VLOOKUP($A83,'Species Library'!$A$6:$Z$150,COLUMN('Species Library'!L79),FALSE))</f>
        <v/>
      </c>
      <c r="O83" s="30" t="str">
        <f>IF(ISNA(VLOOKUP($A83,'Species Library'!$A$6:$Z$150,COLUMN('Species Library'!M79),FALSE)), "",VLOOKUP($A83,'Species Library'!$A$6:$Z$150,COLUMN('Species Library'!M79),FALSE))</f>
        <v/>
      </c>
      <c r="P83" s="30" t="str">
        <f>IF(ISNA(VLOOKUP($A83,'Species Library'!$A$6:$Z$150,COLUMN('Species Library'!N79),FALSE)), "",VLOOKUP($A83,'Species Library'!$A$6:$Z$150,COLUMN('Species Library'!N79),FALSE))</f>
        <v/>
      </c>
      <c r="Q83" s="30" t="str">
        <f t="shared" si="6"/>
        <v/>
      </c>
      <c r="R83" s="30" t="str">
        <f>IF(ISNA(VLOOKUP($A83,'Species Library'!$A$6:$Z$150,COLUMN('Species Library'!O79),FALSE)), "",VLOOKUP($A83,'Species Library'!$A$6:$Z$150,COLUMN('Species Library'!O79),FALSE))</f>
        <v/>
      </c>
      <c r="S83" s="30" t="str">
        <f>IF(ISNA(VLOOKUP($A83,'Species Library'!$A$6:$Z$150,COLUMN('Species Library'!P79),FALSE)), "",VLOOKUP($A83,'Species Library'!$A$6:$Z$150,COLUMN('Species Library'!P79),FALSE))</f>
        <v/>
      </c>
      <c r="T83" s="30" t="str">
        <f>IF(ISNA(VLOOKUP($A83,'Species Library'!$A$6:$Z$150,COLUMN('Species Library'!Q79),FALSE)), "",VLOOKUP($A83,'Species Library'!$A$6:$Z$150,COLUMN('Species Library'!Q79),FALSE))</f>
        <v/>
      </c>
      <c r="U83" s="30" t="str">
        <f>IF(ISNA(VLOOKUP($A83,'Species Library'!$A$6:$Z$150,COLUMN('Species Library'!R79),FALSE)), "",VLOOKUP($A83,'Species Library'!$A$6:$Z$150,COLUMN('Species Library'!R79),FALSE))</f>
        <v/>
      </c>
      <c r="V83" s="30" t="str">
        <f>IF(ISNA(VLOOKUP($A83,'Species Library'!$A$6:$Z$150,COLUMN('Species Library'!S79),FALSE)), "",VLOOKUP($A83,'Species Library'!$A$6:$Z$150,COLUMN('Species Library'!S79),FALSE))</f>
        <v/>
      </c>
      <c r="W83" s="30" t="str">
        <f>IF(ISNA(VLOOKUP($A83,'Species Library'!$A$6:$Z$150,COLUMN('Species Library'!T79),FALSE)), "",VLOOKUP($A83,'Species Library'!$A$6:$Z$150,COLUMN('Species Library'!T79),FALSE))</f>
        <v/>
      </c>
      <c r="X83" s="30" t="str">
        <f t="shared" si="7"/>
        <v/>
      </c>
      <c r="Y83" s="30" t="str">
        <f>IF(ISNA(VLOOKUP($A83,'Species Library'!$A$6:$Z$150,COLUMN('Species Library'!U79),FALSE)), "",VLOOKUP($A83,'Species Library'!$A$6:$Z$150,COLUMN('Species Library'!U79),FALSE))</f>
        <v/>
      </c>
      <c r="Z83" s="30" t="str">
        <f>IF(ISNA(VLOOKUP($A83,'Species Library'!$A$6:$Z$150,COLUMN('Species Library'!V79),FALSE)), "",VLOOKUP($A83,'Species Library'!$A$6:$Z$150,COLUMN('Species Library'!V79),FALSE))</f>
        <v/>
      </c>
      <c r="AA83" s="30" t="str">
        <f>IF(ISNA(VLOOKUP($A83,'Species Library'!$A$6:$Z$150,COLUMN('Species Library'!W79),FALSE)), "",VLOOKUP($A83,'Species Library'!$A$6:$Z$150,COLUMN('Species Library'!W79),FALSE))</f>
        <v/>
      </c>
      <c r="AB83" s="30" t="str">
        <f>IF(ISNA(VLOOKUP($A83,'Species Library'!$A$6:$Z$150,COLUMN('Species Library'!X79),FALSE)), "",VLOOKUP($A83,'Species Library'!$A$6:$Z$150,COLUMN('Species Library'!X79),FALSE))</f>
        <v/>
      </c>
      <c r="AC83" s="30" t="str">
        <f>IF(ISNA(VLOOKUP($A83,'Species Library'!$A$6:$Z$150,COLUMN('Species Library'!Y79),FALSE)), "",VLOOKUP($A83,'Species Library'!$A$6:$Z$150,COLUMN('Species Library'!Y79),FALSE))</f>
        <v/>
      </c>
      <c r="AD83" s="30" t="str">
        <f>IF(ISNA(VLOOKUP($A83,'Species Library'!$A$6:$Z$150,COLUMN('Species Library'!Z79),FALSE)), "",VLOOKUP($A83,'Species Library'!$A$6:$Z$150,COLUMN('Species Library'!Z79),FALSE))</f>
        <v/>
      </c>
    </row>
    <row r="84" spans="2:30" x14ac:dyDescent="0.4">
      <c r="B84" s="30" t="str">
        <f>IF(ISNA(VLOOKUP($A84,'Species Library'!$A$6:$Z$150,COLUMN('Species Library'!B80),FALSE)), "",VLOOKUP($A84,'Species Library'!$A$6:$Z$150,COLUMN('Species Library'!B80),FALSE))</f>
        <v/>
      </c>
      <c r="C84" s="30" t="str">
        <f>IF(ISNA(VLOOKUP($A84,'Species Library'!$A$6:$Z$150,COLUMN('Species Library'!C80),FALSE)), "",VLOOKUP($A84,'Species Library'!$A$6:$Z$150,COLUMN('Species Library'!C80),FALSE))</f>
        <v/>
      </c>
      <c r="D84" s="30" t="str">
        <f>IF(ISNA(VLOOKUP($A84,'Species Library'!$A$6:$Z$150,COLUMN('Species Library'!D80),FALSE)), "",VLOOKUP($A84,'Species Library'!$A$6:$Z$150,COLUMN('Species Library'!D80),FALSE))</f>
        <v/>
      </c>
      <c r="E84" s="30" t="str">
        <f>IF(ISNA(VLOOKUP($A84,'Species Library'!$A$6:$Z$150,COLUMN('Species Library'!E80),FALSE)), "",VLOOKUP($A84,'Species Library'!$A$6:$Z$150,COLUMN('Species Library'!E80),FALSE))</f>
        <v/>
      </c>
      <c r="F84" s="30" t="str">
        <f>IF(ISNA(VLOOKUP($A84,'Species Library'!$A$6:$Z$150,COLUMN('Species Library'!F80),FALSE)), "",VLOOKUP($A84,'Species Library'!$A$6:$Z$150,COLUMN('Species Library'!F80),FALSE))</f>
        <v/>
      </c>
      <c r="G84" s="30" t="str">
        <f t="shared" si="4"/>
        <v/>
      </c>
      <c r="H84" s="30" t="str">
        <f>IF(ISNA(VLOOKUP($A84,'Species Library'!$A$6:$Z$150,COLUMN('Species Library'!G80),FALSE)), "",VLOOKUP($A84,'Species Library'!$A$6:$Z$150,COLUMN('Species Library'!G80),FALSE))</f>
        <v/>
      </c>
      <c r="I84" s="30" t="str">
        <f>IF(ISNA(VLOOKUP($A84,'Species Library'!$A$6:$Z$150,COLUMN('Species Library'!H80),FALSE)), "",VLOOKUP($A84,'Species Library'!$A$6:$Z$150,COLUMN('Species Library'!H80),FALSE))</f>
        <v/>
      </c>
      <c r="J84" s="30" t="str">
        <f>IF(ISNA(VLOOKUP($A84,'Species Library'!$A$6:$Z$150,COLUMN('Species Library'!I80),FALSE)), "",VLOOKUP($A84,'Species Library'!$A$6:$Z$150,COLUMN('Species Library'!I80),FALSE))</f>
        <v/>
      </c>
      <c r="K84" s="30" t="str">
        <f>IF(ISNA(VLOOKUP($A84,'Species Library'!$A$6:$Z$150,COLUMN('Species Library'!J80),FALSE)), "",VLOOKUP($A84,'Species Library'!$A$6:$Z$150,COLUMN('Species Library'!J80),FALSE))</f>
        <v/>
      </c>
      <c r="L84" s="30" t="str">
        <f>IF(ISNA(VLOOKUP($A84,'Species Library'!$A$6:$Z$150,COLUMN('Species Library'!K80),FALSE)), "",VLOOKUP($A84,'Species Library'!$A$6:$Z$150,COLUMN('Species Library'!K80),FALSE))</f>
        <v/>
      </c>
      <c r="M84" s="30" t="str">
        <f t="shared" si="5"/>
        <v/>
      </c>
      <c r="N84" s="30" t="str">
        <f>IF(ISNA(VLOOKUP($A84,'Species Library'!$A$6:$Z$150,COLUMN('Species Library'!L80),FALSE)), "",VLOOKUP($A84,'Species Library'!$A$6:$Z$150,COLUMN('Species Library'!L80),FALSE))</f>
        <v/>
      </c>
      <c r="O84" s="30" t="str">
        <f>IF(ISNA(VLOOKUP($A84,'Species Library'!$A$6:$Z$150,COLUMN('Species Library'!M80),FALSE)), "",VLOOKUP($A84,'Species Library'!$A$6:$Z$150,COLUMN('Species Library'!M80),FALSE))</f>
        <v/>
      </c>
      <c r="P84" s="30" t="str">
        <f>IF(ISNA(VLOOKUP($A84,'Species Library'!$A$6:$Z$150,COLUMN('Species Library'!N80),FALSE)), "",VLOOKUP($A84,'Species Library'!$A$6:$Z$150,COLUMN('Species Library'!N80),FALSE))</f>
        <v/>
      </c>
      <c r="Q84" s="30" t="str">
        <f t="shared" si="6"/>
        <v/>
      </c>
      <c r="R84" s="30" t="str">
        <f>IF(ISNA(VLOOKUP($A84,'Species Library'!$A$6:$Z$150,COLUMN('Species Library'!O80),FALSE)), "",VLOOKUP($A84,'Species Library'!$A$6:$Z$150,COLUMN('Species Library'!O80),FALSE))</f>
        <v/>
      </c>
      <c r="S84" s="30" t="str">
        <f>IF(ISNA(VLOOKUP($A84,'Species Library'!$A$6:$Z$150,COLUMN('Species Library'!P80),FALSE)), "",VLOOKUP($A84,'Species Library'!$A$6:$Z$150,COLUMN('Species Library'!P80),FALSE))</f>
        <v/>
      </c>
      <c r="T84" s="30" t="str">
        <f>IF(ISNA(VLOOKUP($A84,'Species Library'!$A$6:$Z$150,COLUMN('Species Library'!Q80),FALSE)), "",VLOOKUP($A84,'Species Library'!$A$6:$Z$150,COLUMN('Species Library'!Q80),FALSE))</f>
        <v/>
      </c>
      <c r="U84" s="30" t="str">
        <f>IF(ISNA(VLOOKUP($A84,'Species Library'!$A$6:$Z$150,COLUMN('Species Library'!R80),FALSE)), "",VLOOKUP($A84,'Species Library'!$A$6:$Z$150,COLUMN('Species Library'!R80),FALSE))</f>
        <v/>
      </c>
      <c r="V84" s="30" t="str">
        <f>IF(ISNA(VLOOKUP($A84,'Species Library'!$A$6:$Z$150,COLUMN('Species Library'!S80),FALSE)), "",VLOOKUP($A84,'Species Library'!$A$6:$Z$150,COLUMN('Species Library'!S80),FALSE))</f>
        <v/>
      </c>
      <c r="W84" s="30" t="str">
        <f>IF(ISNA(VLOOKUP($A84,'Species Library'!$A$6:$Z$150,COLUMN('Species Library'!T80),FALSE)), "",VLOOKUP($A84,'Species Library'!$A$6:$Z$150,COLUMN('Species Library'!T80),FALSE))</f>
        <v/>
      </c>
      <c r="X84" s="30" t="str">
        <f t="shared" si="7"/>
        <v/>
      </c>
      <c r="Y84" s="30" t="str">
        <f>IF(ISNA(VLOOKUP($A84,'Species Library'!$A$6:$Z$150,COLUMN('Species Library'!U80),FALSE)), "",VLOOKUP($A84,'Species Library'!$A$6:$Z$150,COLUMN('Species Library'!U80),FALSE))</f>
        <v/>
      </c>
      <c r="Z84" s="30" t="str">
        <f>IF(ISNA(VLOOKUP($A84,'Species Library'!$A$6:$Z$150,COLUMN('Species Library'!V80),FALSE)), "",VLOOKUP($A84,'Species Library'!$A$6:$Z$150,COLUMN('Species Library'!V80),FALSE))</f>
        <v/>
      </c>
      <c r="AA84" s="30" t="str">
        <f>IF(ISNA(VLOOKUP($A84,'Species Library'!$A$6:$Z$150,COLUMN('Species Library'!W80),FALSE)), "",VLOOKUP($A84,'Species Library'!$A$6:$Z$150,COLUMN('Species Library'!W80),FALSE))</f>
        <v/>
      </c>
      <c r="AB84" s="30" t="str">
        <f>IF(ISNA(VLOOKUP($A84,'Species Library'!$A$6:$Z$150,COLUMN('Species Library'!X80),FALSE)), "",VLOOKUP($A84,'Species Library'!$A$6:$Z$150,COLUMN('Species Library'!X80),FALSE))</f>
        <v/>
      </c>
      <c r="AC84" s="30" t="str">
        <f>IF(ISNA(VLOOKUP($A84,'Species Library'!$A$6:$Z$150,COLUMN('Species Library'!Y80),FALSE)), "",VLOOKUP($A84,'Species Library'!$A$6:$Z$150,COLUMN('Species Library'!Y80),FALSE))</f>
        <v/>
      </c>
      <c r="AD84" s="30" t="str">
        <f>IF(ISNA(VLOOKUP($A84,'Species Library'!$A$6:$Z$150,COLUMN('Species Library'!Z80),FALSE)), "",VLOOKUP($A84,'Species Library'!$A$6:$Z$150,COLUMN('Species Library'!Z80),FALSE))</f>
        <v/>
      </c>
    </row>
    <row r="85" spans="2:30" x14ac:dyDescent="0.4">
      <c r="B85" s="30" t="str">
        <f>IF(ISNA(VLOOKUP($A85,'Species Library'!$A$6:$Z$150,COLUMN('Species Library'!B81),FALSE)), "",VLOOKUP($A85,'Species Library'!$A$6:$Z$150,COLUMN('Species Library'!B81),FALSE))</f>
        <v/>
      </c>
      <c r="C85" s="30" t="str">
        <f>IF(ISNA(VLOOKUP($A85,'Species Library'!$A$6:$Z$150,COLUMN('Species Library'!C81),FALSE)), "",VLOOKUP($A85,'Species Library'!$A$6:$Z$150,COLUMN('Species Library'!C81),FALSE))</f>
        <v/>
      </c>
      <c r="D85" s="30" t="str">
        <f>IF(ISNA(VLOOKUP($A85,'Species Library'!$A$6:$Z$150,COLUMN('Species Library'!D81),FALSE)), "",VLOOKUP($A85,'Species Library'!$A$6:$Z$150,COLUMN('Species Library'!D81),FALSE))</f>
        <v/>
      </c>
      <c r="E85" s="30" t="str">
        <f>IF(ISNA(VLOOKUP($A85,'Species Library'!$A$6:$Z$150,COLUMN('Species Library'!E81),FALSE)), "",VLOOKUP($A85,'Species Library'!$A$6:$Z$150,COLUMN('Species Library'!E81),FALSE))</f>
        <v/>
      </c>
      <c r="F85" s="30" t="str">
        <f>IF(ISNA(VLOOKUP($A85,'Species Library'!$A$6:$Z$150,COLUMN('Species Library'!F81),FALSE)), "",VLOOKUP($A85,'Species Library'!$A$6:$Z$150,COLUMN('Species Library'!F81),FALSE))</f>
        <v/>
      </c>
      <c r="G85" s="30" t="str">
        <f t="shared" si="4"/>
        <v/>
      </c>
      <c r="H85" s="30" t="str">
        <f>IF(ISNA(VLOOKUP($A85,'Species Library'!$A$6:$Z$150,COLUMN('Species Library'!G81),FALSE)), "",VLOOKUP($A85,'Species Library'!$A$6:$Z$150,COLUMN('Species Library'!G81),FALSE))</f>
        <v/>
      </c>
      <c r="I85" s="30" t="str">
        <f>IF(ISNA(VLOOKUP($A85,'Species Library'!$A$6:$Z$150,COLUMN('Species Library'!H81),FALSE)), "",VLOOKUP($A85,'Species Library'!$A$6:$Z$150,COLUMN('Species Library'!H81),FALSE))</f>
        <v/>
      </c>
      <c r="J85" s="30" t="str">
        <f>IF(ISNA(VLOOKUP($A85,'Species Library'!$A$6:$Z$150,COLUMN('Species Library'!I81),FALSE)), "",VLOOKUP($A85,'Species Library'!$A$6:$Z$150,COLUMN('Species Library'!I81),FALSE))</f>
        <v/>
      </c>
      <c r="K85" s="30" t="str">
        <f>IF(ISNA(VLOOKUP($A85,'Species Library'!$A$6:$Z$150,COLUMN('Species Library'!J81),FALSE)), "",VLOOKUP($A85,'Species Library'!$A$6:$Z$150,COLUMN('Species Library'!J81),FALSE))</f>
        <v/>
      </c>
      <c r="L85" s="30" t="str">
        <f>IF(ISNA(VLOOKUP($A85,'Species Library'!$A$6:$Z$150,COLUMN('Species Library'!K81),FALSE)), "",VLOOKUP($A85,'Species Library'!$A$6:$Z$150,COLUMN('Species Library'!K81),FALSE))</f>
        <v/>
      </c>
      <c r="M85" s="30" t="str">
        <f t="shared" si="5"/>
        <v/>
      </c>
      <c r="N85" s="30" t="str">
        <f>IF(ISNA(VLOOKUP($A85,'Species Library'!$A$6:$Z$150,COLUMN('Species Library'!L81),FALSE)), "",VLOOKUP($A85,'Species Library'!$A$6:$Z$150,COLUMN('Species Library'!L81),FALSE))</f>
        <v/>
      </c>
      <c r="O85" s="30" t="str">
        <f>IF(ISNA(VLOOKUP($A85,'Species Library'!$A$6:$Z$150,COLUMN('Species Library'!M81),FALSE)), "",VLOOKUP($A85,'Species Library'!$A$6:$Z$150,COLUMN('Species Library'!M81),FALSE))</f>
        <v/>
      </c>
      <c r="P85" s="30" t="str">
        <f>IF(ISNA(VLOOKUP($A85,'Species Library'!$A$6:$Z$150,COLUMN('Species Library'!N81),FALSE)), "",VLOOKUP($A85,'Species Library'!$A$6:$Z$150,COLUMN('Species Library'!N81),FALSE))</f>
        <v/>
      </c>
      <c r="Q85" s="30" t="str">
        <f t="shared" si="6"/>
        <v/>
      </c>
      <c r="R85" s="30" t="str">
        <f>IF(ISNA(VLOOKUP($A85,'Species Library'!$A$6:$Z$150,COLUMN('Species Library'!O81),FALSE)), "",VLOOKUP($A85,'Species Library'!$A$6:$Z$150,COLUMN('Species Library'!O81),FALSE))</f>
        <v/>
      </c>
      <c r="S85" s="30" t="str">
        <f>IF(ISNA(VLOOKUP($A85,'Species Library'!$A$6:$Z$150,COLUMN('Species Library'!P81),FALSE)), "",VLOOKUP($A85,'Species Library'!$A$6:$Z$150,COLUMN('Species Library'!P81),FALSE))</f>
        <v/>
      </c>
      <c r="T85" s="30" t="str">
        <f>IF(ISNA(VLOOKUP($A85,'Species Library'!$A$6:$Z$150,COLUMN('Species Library'!Q81),FALSE)), "",VLOOKUP($A85,'Species Library'!$A$6:$Z$150,COLUMN('Species Library'!Q81),FALSE))</f>
        <v/>
      </c>
      <c r="U85" s="30" t="str">
        <f>IF(ISNA(VLOOKUP($A85,'Species Library'!$A$6:$Z$150,COLUMN('Species Library'!R81),FALSE)), "",VLOOKUP($A85,'Species Library'!$A$6:$Z$150,COLUMN('Species Library'!R81),FALSE))</f>
        <v/>
      </c>
      <c r="V85" s="30" t="str">
        <f>IF(ISNA(VLOOKUP($A85,'Species Library'!$A$6:$Z$150,COLUMN('Species Library'!S81),FALSE)), "",VLOOKUP($A85,'Species Library'!$A$6:$Z$150,COLUMN('Species Library'!S81),FALSE))</f>
        <v/>
      </c>
      <c r="W85" s="30" t="str">
        <f>IF(ISNA(VLOOKUP($A85,'Species Library'!$A$6:$Z$150,COLUMN('Species Library'!T81),FALSE)), "",VLOOKUP($A85,'Species Library'!$A$6:$Z$150,COLUMN('Species Library'!T81),FALSE))</f>
        <v/>
      </c>
      <c r="X85" s="30" t="str">
        <f t="shared" si="7"/>
        <v/>
      </c>
      <c r="Y85" s="30" t="str">
        <f>IF(ISNA(VLOOKUP($A85,'Species Library'!$A$6:$Z$150,COLUMN('Species Library'!U81),FALSE)), "",VLOOKUP($A85,'Species Library'!$A$6:$Z$150,COLUMN('Species Library'!U81),FALSE))</f>
        <v/>
      </c>
      <c r="Z85" s="30" t="str">
        <f>IF(ISNA(VLOOKUP($A85,'Species Library'!$A$6:$Z$150,COLUMN('Species Library'!V81),FALSE)), "",VLOOKUP($A85,'Species Library'!$A$6:$Z$150,COLUMN('Species Library'!V81),FALSE))</f>
        <v/>
      </c>
      <c r="AA85" s="30" t="str">
        <f>IF(ISNA(VLOOKUP($A85,'Species Library'!$A$6:$Z$150,COLUMN('Species Library'!W81),FALSE)), "",VLOOKUP($A85,'Species Library'!$A$6:$Z$150,COLUMN('Species Library'!W81),FALSE))</f>
        <v/>
      </c>
      <c r="AB85" s="30" t="str">
        <f>IF(ISNA(VLOOKUP($A85,'Species Library'!$A$6:$Z$150,COLUMN('Species Library'!X81),FALSE)), "",VLOOKUP($A85,'Species Library'!$A$6:$Z$150,COLUMN('Species Library'!X81),FALSE))</f>
        <v/>
      </c>
      <c r="AC85" s="30" t="str">
        <f>IF(ISNA(VLOOKUP($A85,'Species Library'!$A$6:$Z$150,COLUMN('Species Library'!Y81),FALSE)), "",VLOOKUP($A85,'Species Library'!$A$6:$Z$150,COLUMN('Species Library'!Y81),FALSE))</f>
        <v/>
      </c>
      <c r="AD85" s="30" t="str">
        <f>IF(ISNA(VLOOKUP($A85,'Species Library'!$A$6:$Z$150,COLUMN('Species Library'!Z81),FALSE)), "",VLOOKUP($A85,'Species Library'!$A$6:$Z$150,COLUMN('Species Library'!Z81),FALSE))</f>
        <v/>
      </c>
    </row>
    <row r="86" spans="2:30" x14ac:dyDescent="0.4">
      <c r="B86" s="30" t="str">
        <f>IF(ISNA(VLOOKUP($A86,'Species Library'!$A$6:$Z$150,COLUMN('Species Library'!B82),FALSE)), "",VLOOKUP($A86,'Species Library'!$A$6:$Z$150,COLUMN('Species Library'!B82),FALSE))</f>
        <v/>
      </c>
      <c r="C86" s="30" t="str">
        <f>IF(ISNA(VLOOKUP($A86,'Species Library'!$A$6:$Z$150,COLUMN('Species Library'!C82),FALSE)), "",VLOOKUP($A86,'Species Library'!$A$6:$Z$150,COLUMN('Species Library'!C82),FALSE))</f>
        <v/>
      </c>
      <c r="D86" s="30" t="str">
        <f>IF(ISNA(VLOOKUP($A86,'Species Library'!$A$6:$Z$150,COLUMN('Species Library'!D82),FALSE)), "",VLOOKUP($A86,'Species Library'!$A$6:$Z$150,COLUMN('Species Library'!D82),FALSE))</f>
        <v/>
      </c>
      <c r="E86" s="30" t="str">
        <f>IF(ISNA(VLOOKUP($A86,'Species Library'!$A$6:$Z$150,COLUMN('Species Library'!E82),FALSE)), "",VLOOKUP($A86,'Species Library'!$A$6:$Z$150,COLUMN('Species Library'!E82),FALSE))</f>
        <v/>
      </c>
      <c r="F86" s="30" t="str">
        <f>IF(ISNA(VLOOKUP($A86,'Species Library'!$A$6:$Z$150,COLUMN('Species Library'!F82),FALSE)), "",VLOOKUP($A86,'Species Library'!$A$6:$Z$150,COLUMN('Species Library'!F82),FALSE))</f>
        <v/>
      </c>
      <c r="G86" s="30" t="str">
        <f t="shared" si="4"/>
        <v/>
      </c>
      <c r="H86" s="30" t="str">
        <f>IF(ISNA(VLOOKUP($A86,'Species Library'!$A$6:$Z$150,COLUMN('Species Library'!G82),FALSE)), "",VLOOKUP($A86,'Species Library'!$A$6:$Z$150,COLUMN('Species Library'!G82),FALSE))</f>
        <v/>
      </c>
      <c r="I86" s="30" t="str">
        <f>IF(ISNA(VLOOKUP($A86,'Species Library'!$A$6:$Z$150,COLUMN('Species Library'!H82),FALSE)), "",VLOOKUP($A86,'Species Library'!$A$6:$Z$150,COLUMN('Species Library'!H82),FALSE))</f>
        <v/>
      </c>
      <c r="J86" s="30" t="str">
        <f>IF(ISNA(VLOOKUP($A86,'Species Library'!$A$6:$Z$150,COLUMN('Species Library'!I82),FALSE)), "",VLOOKUP($A86,'Species Library'!$A$6:$Z$150,COLUMN('Species Library'!I82),FALSE))</f>
        <v/>
      </c>
      <c r="K86" s="30" t="str">
        <f>IF(ISNA(VLOOKUP($A86,'Species Library'!$A$6:$Z$150,COLUMN('Species Library'!J82),FALSE)), "",VLOOKUP($A86,'Species Library'!$A$6:$Z$150,COLUMN('Species Library'!J82),FALSE))</f>
        <v/>
      </c>
      <c r="L86" s="30" t="str">
        <f>IF(ISNA(VLOOKUP($A86,'Species Library'!$A$6:$Z$150,COLUMN('Species Library'!K82),FALSE)), "",VLOOKUP($A86,'Species Library'!$A$6:$Z$150,COLUMN('Species Library'!K82),FALSE))</f>
        <v/>
      </c>
      <c r="M86" s="30" t="str">
        <f t="shared" si="5"/>
        <v/>
      </c>
      <c r="N86" s="30" t="str">
        <f>IF(ISNA(VLOOKUP($A86,'Species Library'!$A$6:$Z$150,COLUMN('Species Library'!L82),FALSE)), "",VLOOKUP($A86,'Species Library'!$A$6:$Z$150,COLUMN('Species Library'!L82),FALSE))</f>
        <v/>
      </c>
      <c r="O86" s="30" t="str">
        <f>IF(ISNA(VLOOKUP($A86,'Species Library'!$A$6:$Z$150,COLUMN('Species Library'!M82),FALSE)), "",VLOOKUP($A86,'Species Library'!$A$6:$Z$150,COLUMN('Species Library'!M82),FALSE))</f>
        <v/>
      </c>
      <c r="P86" s="30" t="str">
        <f>IF(ISNA(VLOOKUP($A86,'Species Library'!$A$6:$Z$150,COLUMN('Species Library'!N82),FALSE)), "",VLOOKUP($A86,'Species Library'!$A$6:$Z$150,COLUMN('Species Library'!N82),FALSE))</f>
        <v/>
      </c>
      <c r="Q86" s="30" t="str">
        <f t="shared" si="6"/>
        <v/>
      </c>
      <c r="R86" s="30" t="str">
        <f>IF(ISNA(VLOOKUP($A86,'Species Library'!$A$6:$Z$150,COLUMN('Species Library'!O82),FALSE)), "",VLOOKUP($A86,'Species Library'!$A$6:$Z$150,COLUMN('Species Library'!O82),FALSE))</f>
        <v/>
      </c>
      <c r="S86" s="30" t="str">
        <f>IF(ISNA(VLOOKUP($A86,'Species Library'!$A$6:$Z$150,COLUMN('Species Library'!P82),FALSE)), "",VLOOKUP($A86,'Species Library'!$A$6:$Z$150,COLUMN('Species Library'!P82),FALSE))</f>
        <v/>
      </c>
      <c r="T86" s="30" t="str">
        <f>IF(ISNA(VLOOKUP($A86,'Species Library'!$A$6:$Z$150,COLUMN('Species Library'!Q82),FALSE)), "",VLOOKUP($A86,'Species Library'!$A$6:$Z$150,COLUMN('Species Library'!Q82),FALSE))</f>
        <v/>
      </c>
      <c r="U86" s="30" t="str">
        <f>IF(ISNA(VLOOKUP($A86,'Species Library'!$A$6:$Z$150,COLUMN('Species Library'!R82),FALSE)), "",VLOOKUP($A86,'Species Library'!$A$6:$Z$150,COLUMN('Species Library'!R82),FALSE))</f>
        <v/>
      </c>
      <c r="V86" s="30" t="str">
        <f>IF(ISNA(VLOOKUP($A86,'Species Library'!$A$6:$Z$150,COLUMN('Species Library'!S82),FALSE)), "",VLOOKUP($A86,'Species Library'!$A$6:$Z$150,COLUMN('Species Library'!S82),FALSE))</f>
        <v/>
      </c>
      <c r="W86" s="30" t="str">
        <f>IF(ISNA(VLOOKUP($A86,'Species Library'!$A$6:$Z$150,COLUMN('Species Library'!T82),FALSE)), "",VLOOKUP($A86,'Species Library'!$A$6:$Z$150,COLUMN('Species Library'!T82),FALSE))</f>
        <v/>
      </c>
      <c r="X86" s="30" t="str">
        <f t="shared" si="7"/>
        <v/>
      </c>
      <c r="Y86" s="30" t="str">
        <f>IF(ISNA(VLOOKUP($A86,'Species Library'!$A$6:$Z$150,COLUMN('Species Library'!U82),FALSE)), "",VLOOKUP($A86,'Species Library'!$A$6:$Z$150,COLUMN('Species Library'!U82),FALSE))</f>
        <v/>
      </c>
      <c r="Z86" s="30" t="str">
        <f>IF(ISNA(VLOOKUP($A86,'Species Library'!$A$6:$Z$150,COLUMN('Species Library'!V82),FALSE)), "",VLOOKUP($A86,'Species Library'!$A$6:$Z$150,COLUMN('Species Library'!V82),FALSE))</f>
        <v/>
      </c>
      <c r="AA86" s="30" t="str">
        <f>IF(ISNA(VLOOKUP($A86,'Species Library'!$A$6:$Z$150,COLUMN('Species Library'!W82),FALSE)), "",VLOOKUP($A86,'Species Library'!$A$6:$Z$150,COLUMN('Species Library'!W82),FALSE))</f>
        <v/>
      </c>
      <c r="AB86" s="30" t="str">
        <f>IF(ISNA(VLOOKUP($A86,'Species Library'!$A$6:$Z$150,COLUMN('Species Library'!X82),FALSE)), "",VLOOKUP($A86,'Species Library'!$A$6:$Z$150,COLUMN('Species Library'!X82),FALSE))</f>
        <v/>
      </c>
      <c r="AC86" s="30" t="str">
        <f>IF(ISNA(VLOOKUP($A86,'Species Library'!$A$6:$Z$150,COLUMN('Species Library'!Y82),FALSE)), "",VLOOKUP($A86,'Species Library'!$A$6:$Z$150,COLUMN('Species Library'!Y82),FALSE))</f>
        <v/>
      </c>
      <c r="AD86" s="30" t="str">
        <f>IF(ISNA(VLOOKUP($A86,'Species Library'!$A$6:$Z$150,COLUMN('Species Library'!Z82),FALSE)), "",VLOOKUP($A86,'Species Library'!$A$6:$Z$150,COLUMN('Species Library'!Z82),FALSE))</f>
        <v/>
      </c>
    </row>
    <row r="87" spans="2:30" x14ac:dyDescent="0.4">
      <c r="B87" s="30" t="str">
        <f>IF(ISNA(VLOOKUP($A87,'Species Library'!$A$6:$Z$150,COLUMN('Species Library'!B83),FALSE)), "",VLOOKUP($A87,'Species Library'!$A$6:$Z$150,COLUMN('Species Library'!B83),FALSE))</f>
        <v/>
      </c>
      <c r="C87" s="30" t="str">
        <f>IF(ISNA(VLOOKUP($A87,'Species Library'!$A$6:$Z$150,COLUMN('Species Library'!C83),FALSE)), "",VLOOKUP($A87,'Species Library'!$A$6:$Z$150,COLUMN('Species Library'!C83),FALSE))</f>
        <v/>
      </c>
      <c r="D87" s="30" t="str">
        <f>IF(ISNA(VLOOKUP($A87,'Species Library'!$A$6:$Z$150,COLUMN('Species Library'!D83),FALSE)), "",VLOOKUP($A87,'Species Library'!$A$6:$Z$150,COLUMN('Species Library'!D83),FALSE))</f>
        <v/>
      </c>
      <c r="E87" s="30" t="str">
        <f>IF(ISNA(VLOOKUP($A87,'Species Library'!$A$6:$Z$150,COLUMN('Species Library'!E83),FALSE)), "",VLOOKUP($A87,'Species Library'!$A$6:$Z$150,COLUMN('Species Library'!E83),FALSE))</f>
        <v/>
      </c>
      <c r="F87" s="30" t="str">
        <f>IF(ISNA(VLOOKUP($A87,'Species Library'!$A$6:$Z$150,COLUMN('Species Library'!F83),FALSE)), "",VLOOKUP($A87,'Species Library'!$A$6:$Z$150,COLUMN('Species Library'!F83),FALSE))</f>
        <v/>
      </c>
      <c r="G87" s="30" t="str">
        <f t="shared" si="4"/>
        <v/>
      </c>
      <c r="H87" s="30" t="str">
        <f>IF(ISNA(VLOOKUP($A87,'Species Library'!$A$6:$Z$150,COLUMN('Species Library'!G83),FALSE)), "",VLOOKUP($A87,'Species Library'!$A$6:$Z$150,COLUMN('Species Library'!G83),FALSE))</f>
        <v/>
      </c>
      <c r="I87" s="30" t="str">
        <f>IF(ISNA(VLOOKUP($A87,'Species Library'!$A$6:$Z$150,COLUMN('Species Library'!H83),FALSE)), "",VLOOKUP($A87,'Species Library'!$A$6:$Z$150,COLUMN('Species Library'!H83),FALSE))</f>
        <v/>
      </c>
      <c r="J87" s="30" t="str">
        <f>IF(ISNA(VLOOKUP($A87,'Species Library'!$A$6:$Z$150,COLUMN('Species Library'!I83),FALSE)), "",VLOOKUP($A87,'Species Library'!$A$6:$Z$150,COLUMN('Species Library'!I83),FALSE))</f>
        <v/>
      </c>
      <c r="K87" s="30" t="str">
        <f>IF(ISNA(VLOOKUP($A87,'Species Library'!$A$6:$Z$150,COLUMN('Species Library'!J83),FALSE)), "",VLOOKUP($A87,'Species Library'!$A$6:$Z$150,COLUMN('Species Library'!J83),FALSE))</f>
        <v/>
      </c>
      <c r="L87" s="30" t="str">
        <f>IF(ISNA(VLOOKUP($A87,'Species Library'!$A$6:$Z$150,COLUMN('Species Library'!K83),FALSE)), "",VLOOKUP($A87,'Species Library'!$A$6:$Z$150,COLUMN('Species Library'!K83),FALSE))</f>
        <v/>
      </c>
      <c r="M87" s="30" t="str">
        <f t="shared" si="5"/>
        <v/>
      </c>
      <c r="N87" s="30" t="str">
        <f>IF(ISNA(VLOOKUP($A87,'Species Library'!$A$6:$Z$150,COLUMN('Species Library'!L83),FALSE)), "",VLOOKUP($A87,'Species Library'!$A$6:$Z$150,COLUMN('Species Library'!L83),FALSE))</f>
        <v/>
      </c>
      <c r="O87" s="30" t="str">
        <f>IF(ISNA(VLOOKUP($A87,'Species Library'!$A$6:$Z$150,COLUMN('Species Library'!M83),FALSE)), "",VLOOKUP($A87,'Species Library'!$A$6:$Z$150,COLUMN('Species Library'!M83),FALSE))</f>
        <v/>
      </c>
      <c r="P87" s="30" t="str">
        <f>IF(ISNA(VLOOKUP($A87,'Species Library'!$A$6:$Z$150,COLUMN('Species Library'!N83),FALSE)), "",VLOOKUP($A87,'Species Library'!$A$6:$Z$150,COLUMN('Species Library'!N83),FALSE))</f>
        <v/>
      </c>
      <c r="Q87" s="30" t="str">
        <f t="shared" si="6"/>
        <v/>
      </c>
      <c r="R87" s="30" t="str">
        <f>IF(ISNA(VLOOKUP($A87,'Species Library'!$A$6:$Z$150,COLUMN('Species Library'!O83),FALSE)), "",VLOOKUP($A87,'Species Library'!$A$6:$Z$150,COLUMN('Species Library'!O83),FALSE))</f>
        <v/>
      </c>
      <c r="S87" s="30" t="str">
        <f>IF(ISNA(VLOOKUP($A87,'Species Library'!$A$6:$Z$150,COLUMN('Species Library'!P83),FALSE)), "",VLOOKUP($A87,'Species Library'!$A$6:$Z$150,COLUMN('Species Library'!P83),FALSE))</f>
        <v/>
      </c>
      <c r="T87" s="30" t="str">
        <f>IF(ISNA(VLOOKUP($A87,'Species Library'!$A$6:$Z$150,COLUMN('Species Library'!Q83),FALSE)), "",VLOOKUP($A87,'Species Library'!$A$6:$Z$150,COLUMN('Species Library'!Q83),FALSE))</f>
        <v/>
      </c>
      <c r="U87" s="30" t="str">
        <f>IF(ISNA(VLOOKUP($A87,'Species Library'!$A$6:$Z$150,COLUMN('Species Library'!R83),FALSE)), "",VLOOKUP($A87,'Species Library'!$A$6:$Z$150,COLUMN('Species Library'!R83),FALSE))</f>
        <v/>
      </c>
      <c r="V87" s="30" t="str">
        <f>IF(ISNA(VLOOKUP($A87,'Species Library'!$A$6:$Z$150,COLUMN('Species Library'!S83),FALSE)), "",VLOOKUP($A87,'Species Library'!$A$6:$Z$150,COLUMN('Species Library'!S83),FALSE))</f>
        <v/>
      </c>
      <c r="W87" s="30" t="str">
        <f>IF(ISNA(VLOOKUP($A87,'Species Library'!$A$6:$Z$150,COLUMN('Species Library'!T83),FALSE)), "",VLOOKUP($A87,'Species Library'!$A$6:$Z$150,COLUMN('Species Library'!T83),FALSE))</f>
        <v/>
      </c>
      <c r="X87" s="30" t="str">
        <f t="shared" si="7"/>
        <v/>
      </c>
      <c r="Y87" s="30" t="str">
        <f>IF(ISNA(VLOOKUP($A87,'Species Library'!$A$6:$Z$150,COLUMN('Species Library'!U83),FALSE)), "",VLOOKUP($A87,'Species Library'!$A$6:$Z$150,COLUMN('Species Library'!U83),FALSE))</f>
        <v/>
      </c>
      <c r="Z87" s="30" t="str">
        <f>IF(ISNA(VLOOKUP($A87,'Species Library'!$A$6:$Z$150,COLUMN('Species Library'!V83),FALSE)), "",VLOOKUP($A87,'Species Library'!$A$6:$Z$150,COLUMN('Species Library'!V83),FALSE))</f>
        <v/>
      </c>
      <c r="AA87" s="30" t="str">
        <f>IF(ISNA(VLOOKUP($A87,'Species Library'!$A$6:$Z$150,COLUMN('Species Library'!W83),FALSE)), "",VLOOKUP($A87,'Species Library'!$A$6:$Z$150,COLUMN('Species Library'!W83),FALSE))</f>
        <v/>
      </c>
      <c r="AB87" s="30" t="str">
        <f>IF(ISNA(VLOOKUP($A87,'Species Library'!$A$6:$Z$150,COLUMN('Species Library'!X83),FALSE)), "",VLOOKUP($A87,'Species Library'!$A$6:$Z$150,COLUMN('Species Library'!X83),FALSE))</f>
        <v/>
      </c>
      <c r="AC87" s="30" t="str">
        <f>IF(ISNA(VLOOKUP($A87,'Species Library'!$A$6:$Z$150,COLUMN('Species Library'!Y83),FALSE)), "",VLOOKUP($A87,'Species Library'!$A$6:$Z$150,COLUMN('Species Library'!Y83),FALSE))</f>
        <v/>
      </c>
      <c r="AD87" s="30" t="str">
        <f>IF(ISNA(VLOOKUP($A87,'Species Library'!$A$6:$Z$150,COLUMN('Species Library'!Z83),FALSE)), "",VLOOKUP($A87,'Species Library'!$A$6:$Z$150,COLUMN('Species Library'!Z83),FALSE))</f>
        <v/>
      </c>
    </row>
    <row r="88" spans="2:30" x14ac:dyDescent="0.4">
      <c r="B88" s="30" t="str">
        <f>IF(ISNA(VLOOKUP($A88,'Species Library'!$A$6:$Z$150,COLUMN('Species Library'!B84),FALSE)), "",VLOOKUP($A88,'Species Library'!$A$6:$Z$150,COLUMN('Species Library'!B84),FALSE))</f>
        <v/>
      </c>
      <c r="C88" s="30" t="str">
        <f>IF(ISNA(VLOOKUP($A88,'Species Library'!$A$6:$Z$150,COLUMN('Species Library'!C84),FALSE)), "",VLOOKUP($A88,'Species Library'!$A$6:$Z$150,COLUMN('Species Library'!C84),FALSE))</f>
        <v/>
      </c>
      <c r="D88" s="30" t="str">
        <f>IF(ISNA(VLOOKUP($A88,'Species Library'!$A$6:$Z$150,COLUMN('Species Library'!D84),FALSE)), "",VLOOKUP($A88,'Species Library'!$A$6:$Z$150,COLUMN('Species Library'!D84),FALSE))</f>
        <v/>
      </c>
      <c r="E88" s="30" t="str">
        <f>IF(ISNA(VLOOKUP($A88,'Species Library'!$A$6:$Z$150,COLUMN('Species Library'!E84),FALSE)), "",VLOOKUP($A88,'Species Library'!$A$6:$Z$150,COLUMN('Species Library'!E84),FALSE))</f>
        <v/>
      </c>
      <c r="F88" s="30" t="str">
        <f>IF(ISNA(VLOOKUP($A88,'Species Library'!$A$6:$Z$150,COLUMN('Species Library'!F84),FALSE)), "",VLOOKUP($A88,'Species Library'!$A$6:$Z$150,COLUMN('Species Library'!F84),FALSE))</f>
        <v/>
      </c>
      <c r="G88" s="30" t="str">
        <f t="shared" si="4"/>
        <v/>
      </c>
      <c r="H88" s="30" t="str">
        <f>IF(ISNA(VLOOKUP($A88,'Species Library'!$A$6:$Z$150,COLUMN('Species Library'!G84),FALSE)), "",VLOOKUP($A88,'Species Library'!$A$6:$Z$150,COLUMN('Species Library'!G84),FALSE))</f>
        <v/>
      </c>
      <c r="I88" s="30" t="str">
        <f>IF(ISNA(VLOOKUP($A88,'Species Library'!$A$6:$Z$150,COLUMN('Species Library'!H84),FALSE)), "",VLOOKUP($A88,'Species Library'!$A$6:$Z$150,COLUMN('Species Library'!H84),FALSE))</f>
        <v/>
      </c>
      <c r="J88" s="30" t="str">
        <f>IF(ISNA(VLOOKUP($A88,'Species Library'!$A$6:$Z$150,COLUMN('Species Library'!I84),FALSE)), "",VLOOKUP($A88,'Species Library'!$A$6:$Z$150,COLUMN('Species Library'!I84),FALSE))</f>
        <v/>
      </c>
      <c r="K88" s="30" t="str">
        <f>IF(ISNA(VLOOKUP($A88,'Species Library'!$A$6:$Z$150,COLUMN('Species Library'!J84),FALSE)), "",VLOOKUP($A88,'Species Library'!$A$6:$Z$150,COLUMN('Species Library'!J84),FALSE))</f>
        <v/>
      </c>
      <c r="L88" s="30" t="str">
        <f>IF(ISNA(VLOOKUP($A88,'Species Library'!$A$6:$Z$150,COLUMN('Species Library'!K84),FALSE)), "",VLOOKUP($A88,'Species Library'!$A$6:$Z$150,COLUMN('Species Library'!K84),FALSE))</f>
        <v/>
      </c>
      <c r="M88" s="30" t="str">
        <f t="shared" si="5"/>
        <v/>
      </c>
      <c r="N88" s="30" t="str">
        <f>IF(ISNA(VLOOKUP($A88,'Species Library'!$A$6:$Z$150,COLUMN('Species Library'!L84),FALSE)), "",VLOOKUP($A88,'Species Library'!$A$6:$Z$150,COLUMN('Species Library'!L84),FALSE))</f>
        <v/>
      </c>
      <c r="O88" s="30" t="str">
        <f>IF(ISNA(VLOOKUP($A88,'Species Library'!$A$6:$Z$150,COLUMN('Species Library'!M84),FALSE)), "",VLOOKUP($A88,'Species Library'!$A$6:$Z$150,COLUMN('Species Library'!M84),FALSE))</f>
        <v/>
      </c>
      <c r="P88" s="30" t="str">
        <f>IF(ISNA(VLOOKUP($A88,'Species Library'!$A$6:$Z$150,COLUMN('Species Library'!N84),FALSE)), "",VLOOKUP($A88,'Species Library'!$A$6:$Z$150,COLUMN('Species Library'!N84),FALSE))</f>
        <v/>
      </c>
      <c r="Q88" s="30" t="str">
        <f t="shared" si="6"/>
        <v/>
      </c>
      <c r="R88" s="30" t="str">
        <f>IF(ISNA(VLOOKUP($A88,'Species Library'!$A$6:$Z$150,COLUMN('Species Library'!O84),FALSE)), "",VLOOKUP($A88,'Species Library'!$A$6:$Z$150,COLUMN('Species Library'!O84),FALSE))</f>
        <v/>
      </c>
      <c r="S88" s="30" t="str">
        <f>IF(ISNA(VLOOKUP($A88,'Species Library'!$A$6:$Z$150,COLUMN('Species Library'!P84),FALSE)), "",VLOOKUP($A88,'Species Library'!$A$6:$Z$150,COLUMN('Species Library'!P84),FALSE))</f>
        <v/>
      </c>
      <c r="T88" s="30" t="str">
        <f>IF(ISNA(VLOOKUP($A88,'Species Library'!$A$6:$Z$150,COLUMN('Species Library'!Q84),FALSE)), "",VLOOKUP($A88,'Species Library'!$A$6:$Z$150,COLUMN('Species Library'!Q84),FALSE))</f>
        <v/>
      </c>
      <c r="U88" s="30" t="str">
        <f>IF(ISNA(VLOOKUP($A88,'Species Library'!$A$6:$Z$150,COLUMN('Species Library'!R84),FALSE)), "",VLOOKUP($A88,'Species Library'!$A$6:$Z$150,COLUMN('Species Library'!R84),FALSE))</f>
        <v/>
      </c>
      <c r="V88" s="30" t="str">
        <f>IF(ISNA(VLOOKUP($A88,'Species Library'!$A$6:$Z$150,COLUMN('Species Library'!S84),FALSE)), "",VLOOKUP($A88,'Species Library'!$A$6:$Z$150,COLUMN('Species Library'!S84),FALSE))</f>
        <v/>
      </c>
      <c r="W88" s="30" t="str">
        <f>IF(ISNA(VLOOKUP($A88,'Species Library'!$A$6:$Z$150,COLUMN('Species Library'!T84),FALSE)), "",VLOOKUP($A88,'Species Library'!$A$6:$Z$150,COLUMN('Species Library'!T84),FALSE))</f>
        <v/>
      </c>
      <c r="X88" s="30" t="str">
        <f t="shared" si="7"/>
        <v/>
      </c>
      <c r="Y88" s="30" t="str">
        <f>IF(ISNA(VLOOKUP($A88,'Species Library'!$A$6:$Z$150,COLUMN('Species Library'!U84),FALSE)), "",VLOOKUP($A88,'Species Library'!$A$6:$Z$150,COLUMN('Species Library'!U84),FALSE))</f>
        <v/>
      </c>
      <c r="Z88" s="30" t="str">
        <f>IF(ISNA(VLOOKUP($A88,'Species Library'!$A$6:$Z$150,COLUMN('Species Library'!V84),FALSE)), "",VLOOKUP($A88,'Species Library'!$A$6:$Z$150,COLUMN('Species Library'!V84),FALSE))</f>
        <v/>
      </c>
      <c r="AA88" s="30" t="str">
        <f>IF(ISNA(VLOOKUP($A88,'Species Library'!$A$6:$Z$150,COLUMN('Species Library'!W84),FALSE)), "",VLOOKUP($A88,'Species Library'!$A$6:$Z$150,COLUMN('Species Library'!W84),FALSE))</f>
        <v/>
      </c>
      <c r="AB88" s="30" t="str">
        <f>IF(ISNA(VLOOKUP($A88,'Species Library'!$A$6:$Z$150,COLUMN('Species Library'!X84),FALSE)), "",VLOOKUP($A88,'Species Library'!$A$6:$Z$150,COLUMN('Species Library'!X84),FALSE))</f>
        <v/>
      </c>
      <c r="AC88" s="30" t="str">
        <f>IF(ISNA(VLOOKUP($A88,'Species Library'!$A$6:$Z$150,COLUMN('Species Library'!Y84),FALSE)), "",VLOOKUP($A88,'Species Library'!$A$6:$Z$150,COLUMN('Species Library'!Y84),FALSE))</f>
        <v/>
      </c>
      <c r="AD88" s="30" t="str">
        <f>IF(ISNA(VLOOKUP($A88,'Species Library'!$A$6:$Z$150,COLUMN('Species Library'!Z84),FALSE)), "",VLOOKUP($A88,'Species Library'!$A$6:$Z$150,COLUMN('Species Library'!Z84),FALSE))</f>
        <v/>
      </c>
    </row>
    <row r="89" spans="2:30" x14ac:dyDescent="0.4">
      <c r="B89" s="30" t="str">
        <f>IF(ISNA(VLOOKUP($A89,'Species Library'!$A$6:$Z$150,COLUMN('Species Library'!B85),FALSE)), "",VLOOKUP($A89,'Species Library'!$A$6:$Z$150,COLUMN('Species Library'!B85),FALSE))</f>
        <v/>
      </c>
      <c r="C89" s="30" t="str">
        <f>IF(ISNA(VLOOKUP($A89,'Species Library'!$A$6:$Z$150,COLUMN('Species Library'!C85),FALSE)), "",VLOOKUP($A89,'Species Library'!$A$6:$Z$150,COLUMN('Species Library'!C85),FALSE))</f>
        <v/>
      </c>
      <c r="D89" s="30" t="str">
        <f>IF(ISNA(VLOOKUP($A89,'Species Library'!$A$6:$Z$150,COLUMN('Species Library'!D85),FALSE)), "",VLOOKUP($A89,'Species Library'!$A$6:$Z$150,COLUMN('Species Library'!D85),FALSE))</f>
        <v/>
      </c>
      <c r="E89" s="30" t="str">
        <f>IF(ISNA(VLOOKUP($A89,'Species Library'!$A$6:$Z$150,COLUMN('Species Library'!E85),FALSE)), "",VLOOKUP($A89,'Species Library'!$A$6:$Z$150,COLUMN('Species Library'!E85),FALSE))</f>
        <v/>
      </c>
      <c r="F89" s="30" t="str">
        <f>IF(ISNA(VLOOKUP($A89,'Species Library'!$A$6:$Z$150,COLUMN('Species Library'!F85),FALSE)), "",VLOOKUP($A89,'Species Library'!$A$6:$Z$150,COLUMN('Species Library'!F85),FALSE))</f>
        <v/>
      </c>
      <c r="G89" s="30" t="str">
        <f t="shared" si="4"/>
        <v/>
      </c>
      <c r="H89" s="30" t="str">
        <f>IF(ISNA(VLOOKUP($A89,'Species Library'!$A$6:$Z$150,COLUMN('Species Library'!G85),FALSE)), "",VLOOKUP($A89,'Species Library'!$A$6:$Z$150,COLUMN('Species Library'!G85),FALSE))</f>
        <v/>
      </c>
      <c r="I89" s="30" t="str">
        <f>IF(ISNA(VLOOKUP($A89,'Species Library'!$A$6:$Z$150,COLUMN('Species Library'!H85),FALSE)), "",VLOOKUP($A89,'Species Library'!$A$6:$Z$150,COLUMN('Species Library'!H85),FALSE))</f>
        <v/>
      </c>
      <c r="J89" s="30" t="str">
        <f>IF(ISNA(VLOOKUP($A89,'Species Library'!$A$6:$Z$150,COLUMN('Species Library'!I85),FALSE)), "",VLOOKUP($A89,'Species Library'!$A$6:$Z$150,COLUMN('Species Library'!I85),FALSE))</f>
        <v/>
      </c>
      <c r="K89" s="30" t="str">
        <f>IF(ISNA(VLOOKUP($A89,'Species Library'!$A$6:$Z$150,COLUMN('Species Library'!J85),FALSE)), "",VLOOKUP($A89,'Species Library'!$A$6:$Z$150,COLUMN('Species Library'!J85),FALSE))</f>
        <v/>
      </c>
      <c r="L89" s="30" t="str">
        <f>IF(ISNA(VLOOKUP($A89,'Species Library'!$A$6:$Z$150,COLUMN('Species Library'!K85),FALSE)), "",VLOOKUP($A89,'Species Library'!$A$6:$Z$150,COLUMN('Species Library'!K85),FALSE))</f>
        <v/>
      </c>
      <c r="M89" s="30" t="str">
        <f t="shared" si="5"/>
        <v/>
      </c>
      <c r="N89" s="30" t="str">
        <f>IF(ISNA(VLOOKUP($A89,'Species Library'!$A$6:$Z$150,COLUMN('Species Library'!L85),FALSE)), "",VLOOKUP($A89,'Species Library'!$A$6:$Z$150,COLUMN('Species Library'!L85),FALSE))</f>
        <v/>
      </c>
      <c r="O89" s="30" t="str">
        <f>IF(ISNA(VLOOKUP($A89,'Species Library'!$A$6:$Z$150,COLUMN('Species Library'!M85),FALSE)), "",VLOOKUP($A89,'Species Library'!$A$6:$Z$150,COLUMN('Species Library'!M85),FALSE))</f>
        <v/>
      </c>
      <c r="P89" s="30" t="str">
        <f>IF(ISNA(VLOOKUP($A89,'Species Library'!$A$6:$Z$150,COLUMN('Species Library'!N85),FALSE)), "",VLOOKUP($A89,'Species Library'!$A$6:$Z$150,COLUMN('Species Library'!N85),FALSE))</f>
        <v/>
      </c>
      <c r="Q89" s="30" t="str">
        <f t="shared" si="6"/>
        <v/>
      </c>
      <c r="R89" s="30" t="str">
        <f>IF(ISNA(VLOOKUP($A89,'Species Library'!$A$6:$Z$150,COLUMN('Species Library'!O85),FALSE)), "",VLOOKUP($A89,'Species Library'!$A$6:$Z$150,COLUMN('Species Library'!O85),FALSE))</f>
        <v/>
      </c>
      <c r="S89" s="30" t="str">
        <f>IF(ISNA(VLOOKUP($A89,'Species Library'!$A$6:$Z$150,COLUMN('Species Library'!P85),FALSE)), "",VLOOKUP($A89,'Species Library'!$A$6:$Z$150,COLUMN('Species Library'!P85),FALSE))</f>
        <v/>
      </c>
      <c r="T89" s="30" t="str">
        <f>IF(ISNA(VLOOKUP($A89,'Species Library'!$A$6:$Z$150,COLUMN('Species Library'!Q85),FALSE)), "",VLOOKUP($A89,'Species Library'!$A$6:$Z$150,COLUMN('Species Library'!Q85),FALSE))</f>
        <v/>
      </c>
      <c r="U89" s="30" t="str">
        <f>IF(ISNA(VLOOKUP($A89,'Species Library'!$A$6:$Z$150,COLUMN('Species Library'!R85),FALSE)), "",VLOOKUP($A89,'Species Library'!$A$6:$Z$150,COLUMN('Species Library'!R85),FALSE))</f>
        <v/>
      </c>
      <c r="V89" s="30" t="str">
        <f>IF(ISNA(VLOOKUP($A89,'Species Library'!$A$6:$Z$150,COLUMN('Species Library'!S85),FALSE)), "",VLOOKUP($A89,'Species Library'!$A$6:$Z$150,COLUMN('Species Library'!S85),FALSE))</f>
        <v/>
      </c>
      <c r="W89" s="30" t="str">
        <f>IF(ISNA(VLOOKUP($A89,'Species Library'!$A$6:$Z$150,COLUMN('Species Library'!T85),FALSE)), "",VLOOKUP($A89,'Species Library'!$A$6:$Z$150,COLUMN('Species Library'!T85),FALSE))</f>
        <v/>
      </c>
      <c r="X89" s="30" t="str">
        <f t="shared" si="7"/>
        <v/>
      </c>
      <c r="Y89" s="30" t="str">
        <f>IF(ISNA(VLOOKUP($A89,'Species Library'!$A$6:$Z$150,COLUMN('Species Library'!U85),FALSE)), "",VLOOKUP($A89,'Species Library'!$A$6:$Z$150,COLUMN('Species Library'!U85),FALSE))</f>
        <v/>
      </c>
      <c r="Z89" s="30" t="str">
        <f>IF(ISNA(VLOOKUP($A89,'Species Library'!$A$6:$Z$150,COLUMN('Species Library'!V85),FALSE)), "",VLOOKUP($A89,'Species Library'!$A$6:$Z$150,COLUMN('Species Library'!V85),FALSE))</f>
        <v/>
      </c>
      <c r="AA89" s="30" t="str">
        <f>IF(ISNA(VLOOKUP($A89,'Species Library'!$A$6:$Z$150,COLUMN('Species Library'!W85),FALSE)), "",VLOOKUP($A89,'Species Library'!$A$6:$Z$150,COLUMN('Species Library'!W85),FALSE))</f>
        <v/>
      </c>
      <c r="AB89" s="30" t="str">
        <f>IF(ISNA(VLOOKUP($A89,'Species Library'!$A$6:$Z$150,COLUMN('Species Library'!X85),FALSE)), "",VLOOKUP($A89,'Species Library'!$A$6:$Z$150,COLUMN('Species Library'!X85),FALSE))</f>
        <v/>
      </c>
      <c r="AC89" s="30" t="str">
        <f>IF(ISNA(VLOOKUP($A89,'Species Library'!$A$6:$Z$150,COLUMN('Species Library'!Y85),FALSE)), "",VLOOKUP($A89,'Species Library'!$A$6:$Z$150,COLUMN('Species Library'!Y85),FALSE))</f>
        <v/>
      </c>
      <c r="AD89" s="30" t="str">
        <f>IF(ISNA(VLOOKUP($A89,'Species Library'!$A$6:$Z$150,COLUMN('Species Library'!Z85),FALSE)), "",VLOOKUP($A89,'Species Library'!$A$6:$Z$150,COLUMN('Species Library'!Z85),FALSE))</f>
        <v/>
      </c>
    </row>
    <row r="90" spans="2:30" x14ac:dyDescent="0.4">
      <c r="B90" s="30" t="str">
        <f>IF(ISNA(VLOOKUP($A90,'Species Library'!$A$6:$Z$150,COLUMN('Species Library'!B86),FALSE)), "",VLOOKUP($A90,'Species Library'!$A$6:$Z$150,COLUMN('Species Library'!B86),FALSE))</f>
        <v/>
      </c>
      <c r="C90" s="30" t="str">
        <f>IF(ISNA(VLOOKUP($A90,'Species Library'!$A$6:$Z$150,COLUMN('Species Library'!C86),FALSE)), "",VLOOKUP($A90,'Species Library'!$A$6:$Z$150,COLUMN('Species Library'!C86),FALSE))</f>
        <v/>
      </c>
      <c r="D90" s="30" t="str">
        <f>IF(ISNA(VLOOKUP($A90,'Species Library'!$A$6:$Z$150,COLUMN('Species Library'!D86),FALSE)), "",VLOOKUP($A90,'Species Library'!$A$6:$Z$150,COLUMN('Species Library'!D86),FALSE))</f>
        <v/>
      </c>
      <c r="E90" s="30" t="str">
        <f>IF(ISNA(VLOOKUP($A90,'Species Library'!$A$6:$Z$150,COLUMN('Species Library'!E86),FALSE)), "",VLOOKUP($A90,'Species Library'!$A$6:$Z$150,COLUMN('Species Library'!E86),FALSE))</f>
        <v/>
      </c>
      <c r="F90" s="30" t="str">
        <f>IF(ISNA(VLOOKUP($A90,'Species Library'!$A$6:$Z$150,COLUMN('Species Library'!F86),FALSE)), "",VLOOKUP($A90,'Species Library'!$A$6:$Z$150,COLUMN('Species Library'!F86),FALSE))</f>
        <v/>
      </c>
      <c r="G90" s="30" t="str">
        <f t="shared" si="4"/>
        <v/>
      </c>
      <c r="H90" s="30" t="str">
        <f>IF(ISNA(VLOOKUP($A90,'Species Library'!$A$6:$Z$150,COLUMN('Species Library'!G86),FALSE)), "",VLOOKUP($A90,'Species Library'!$A$6:$Z$150,COLUMN('Species Library'!G86),FALSE))</f>
        <v/>
      </c>
      <c r="I90" s="30" t="str">
        <f>IF(ISNA(VLOOKUP($A90,'Species Library'!$A$6:$Z$150,COLUMN('Species Library'!H86),FALSE)), "",VLOOKUP($A90,'Species Library'!$A$6:$Z$150,COLUMN('Species Library'!H86),FALSE))</f>
        <v/>
      </c>
      <c r="J90" s="30" t="str">
        <f>IF(ISNA(VLOOKUP($A90,'Species Library'!$A$6:$Z$150,COLUMN('Species Library'!I86),FALSE)), "",VLOOKUP($A90,'Species Library'!$A$6:$Z$150,COLUMN('Species Library'!I86),FALSE))</f>
        <v/>
      </c>
      <c r="K90" s="30" t="str">
        <f>IF(ISNA(VLOOKUP($A90,'Species Library'!$A$6:$Z$150,COLUMN('Species Library'!J86),FALSE)), "",VLOOKUP($A90,'Species Library'!$A$6:$Z$150,COLUMN('Species Library'!J86),FALSE))</f>
        <v/>
      </c>
      <c r="L90" s="30" t="str">
        <f>IF(ISNA(VLOOKUP($A90,'Species Library'!$A$6:$Z$150,COLUMN('Species Library'!K86),FALSE)), "",VLOOKUP($A90,'Species Library'!$A$6:$Z$150,COLUMN('Species Library'!K86),FALSE))</f>
        <v/>
      </c>
      <c r="M90" s="30" t="str">
        <f t="shared" si="5"/>
        <v/>
      </c>
      <c r="N90" s="30" t="str">
        <f>IF(ISNA(VLOOKUP($A90,'Species Library'!$A$6:$Z$150,COLUMN('Species Library'!L86),FALSE)), "",VLOOKUP($A90,'Species Library'!$A$6:$Z$150,COLUMN('Species Library'!L86),FALSE))</f>
        <v/>
      </c>
      <c r="O90" s="30" t="str">
        <f>IF(ISNA(VLOOKUP($A90,'Species Library'!$A$6:$Z$150,COLUMN('Species Library'!M86),FALSE)), "",VLOOKUP($A90,'Species Library'!$A$6:$Z$150,COLUMN('Species Library'!M86),FALSE))</f>
        <v/>
      </c>
      <c r="P90" s="30" t="str">
        <f>IF(ISNA(VLOOKUP($A90,'Species Library'!$A$6:$Z$150,COLUMN('Species Library'!N86),FALSE)), "",VLOOKUP($A90,'Species Library'!$A$6:$Z$150,COLUMN('Species Library'!N86),FALSE))</f>
        <v/>
      </c>
      <c r="Q90" s="30" t="str">
        <f t="shared" si="6"/>
        <v/>
      </c>
      <c r="R90" s="30" t="str">
        <f>IF(ISNA(VLOOKUP($A90,'Species Library'!$A$6:$Z$150,COLUMN('Species Library'!O86),FALSE)), "",VLOOKUP($A90,'Species Library'!$A$6:$Z$150,COLUMN('Species Library'!O86),FALSE))</f>
        <v/>
      </c>
      <c r="S90" s="30" t="str">
        <f>IF(ISNA(VLOOKUP($A90,'Species Library'!$A$6:$Z$150,COLUMN('Species Library'!P86),FALSE)), "",VLOOKUP($A90,'Species Library'!$A$6:$Z$150,COLUMN('Species Library'!P86),FALSE))</f>
        <v/>
      </c>
      <c r="T90" s="30" t="str">
        <f>IF(ISNA(VLOOKUP($A90,'Species Library'!$A$6:$Z$150,COLUMN('Species Library'!Q86),FALSE)), "",VLOOKUP($A90,'Species Library'!$A$6:$Z$150,COLUMN('Species Library'!Q86),FALSE))</f>
        <v/>
      </c>
      <c r="U90" s="30" t="str">
        <f>IF(ISNA(VLOOKUP($A90,'Species Library'!$A$6:$Z$150,COLUMN('Species Library'!R86),FALSE)), "",VLOOKUP($A90,'Species Library'!$A$6:$Z$150,COLUMN('Species Library'!R86),FALSE))</f>
        <v/>
      </c>
      <c r="V90" s="30" t="str">
        <f>IF(ISNA(VLOOKUP($A90,'Species Library'!$A$6:$Z$150,COLUMN('Species Library'!S86),FALSE)), "",VLOOKUP($A90,'Species Library'!$A$6:$Z$150,COLUMN('Species Library'!S86),FALSE))</f>
        <v/>
      </c>
      <c r="W90" s="30" t="str">
        <f>IF(ISNA(VLOOKUP($A90,'Species Library'!$A$6:$Z$150,COLUMN('Species Library'!T86),FALSE)), "",VLOOKUP($A90,'Species Library'!$A$6:$Z$150,COLUMN('Species Library'!T86),FALSE))</f>
        <v/>
      </c>
      <c r="X90" s="30" t="str">
        <f t="shared" si="7"/>
        <v/>
      </c>
      <c r="Y90" s="30" t="str">
        <f>IF(ISNA(VLOOKUP($A90,'Species Library'!$A$6:$Z$150,COLUMN('Species Library'!U86),FALSE)), "",VLOOKUP($A90,'Species Library'!$A$6:$Z$150,COLUMN('Species Library'!U86),FALSE))</f>
        <v/>
      </c>
      <c r="Z90" s="30" t="str">
        <f>IF(ISNA(VLOOKUP($A90,'Species Library'!$A$6:$Z$150,COLUMN('Species Library'!V86),FALSE)), "",VLOOKUP($A90,'Species Library'!$A$6:$Z$150,COLUMN('Species Library'!V86),FALSE))</f>
        <v/>
      </c>
      <c r="AA90" s="30" t="str">
        <f>IF(ISNA(VLOOKUP($A90,'Species Library'!$A$6:$Z$150,COLUMN('Species Library'!W86),FALSE)), "",VLOOKUP($A90,'Species Library'!$A$6:$Z$150,COLUMN('Species Library'!W86),FALSE))</f>
        <v/>
      </c>
      <c r="AB90" s="30" t="str">
        <f>IF(ISNA(VLOOKUP($A90,'Species Library'!$A$6:$Z$150,COLUMN('Species Library'!X86),FALSE)), "",VLOOKUP($A90,'Species Library'!$A$6:$Z$150,COLUMN('Species Library'!X86),FALSE))</f>
        <v/>
      </c>
      <c r="AC90" s="30" t="str">
        <f>IF(ISNA(VLOOKUP($A90,'Species Library'!$A$6:$Z$150,COLUMN('Species Library'!Y86),FALSE)), "",VLOOKUP($A90,'Species Library'!$A$6:$Z$150,COLUMN('Species Library'!Y86),FALSE))</f>
        <v/>
      </c>
      <c r="AD90" s="30" t="str">
        <f>IF(ISNA(VLOOKUP($A90,'Species Library'!$A$6:$Z$150,COLUMN('Species Library'!Z86),FALSE)), "",VLOOKUP($A90,'Species Library'!$A$6:$Z$150,COLUMN('Species Library'!Z86),FALSE))</f>
        <v/>
      </c>
    </row>
    <row r="91" spans="2:30" x14ac:dyDescent="0.4">
      <c r="B91" s="30" t="str">
        <f>IF(ISNA(VLOOKUP($A91,'Species Library'!$A$6:$Z$150,COLUMN('Species Library'!B87),FALSE)), "",VLOOKUP($A91,'Species Library'!$A$6:$Z$150,COLUMN('Species Library'!B87),FALSE))</f>
        <v/>
      </c>
      <c r="C91" s="30" t="str">
        <f>IF(ISNA(VLOOKUP($A91,'Species Library'!$A$6:$Z$150,COLUMN('Species Library'!C87),FALSE)), "",VLOOKUP($A91,'Species Library'!$A$6:$Z$150,COLUMN('Species Library'!C87),FALSE))</f>
        <v/>
      </c>
      <c r="D91" s="30" t="str">
        <f>IF(ISNA(VLOOKUP($A91,'Species Library'!$A$6:$Z$150,COLUMN('Species Library'!D87),FALSE)), "",VLOOKUP($A91,'Species Library'!$A$6:$Z$150,COLUMN('Species Library'!D87),FALSE))</f>
        <v/>
      </c>
      <c r="E91" s="30" t="str">
        <f>IF(ISNA(VLOOKUP($A91,'Species Library'!$A$6:$Z$150,COLUMN('Species Library'!E87),FALSE)), "",VLOOKUP($A91,'Species Library'!$A$6:$Z$150,COLUMN('Species Library'!E87),FALSE))</f>
        <v/>
      </c>
      <c r="F91" s="30" t="str">
        <f>IF(ISNA(VLOOKUP($A91,'Species Library'!$A$6:$Z$150,COLUMN('Species Library'!F87),FALSE)), "",VLOOKUP($A91,'Species Library'!$A$6:$Z$150,COLUMN('Species Library'!F87),FALSE))</f>
        <v/>
      </c>
      <c r="G91" s="30" t="str">
        <f t="shared" si="4"/>
        <v/>
      </c>
      <c r="H91" s="30" t="str">
        <f>IF(ISNA(VLOOKUP($A91,'Species Library'!$A$6:$Z$150,COLUMN('Species Library'!G87),FALSE)), "",VLOOKUP($A91,'Species Library'!$A$6:$Z$150,COLUMN('Species Library'!G87),FALSE))</f>
        <v/>
      </c>
      <c r="I91" s="30" t="str">
        <f>IF(ISNA(VLOOKUP($A91,'Species Library'!$A$6:$Z$150,COLUMN('Species Library'!H87),FALSE)), "",VLOOKUP($A91,'Species Library'!$A$6:$Z$150,COLUMN('Species Library'!H87),FALSE))</f>
        <v/>
      </c>
      <c r="J91" s="30" t="str">
        <f>IF(ISNA(VLOOKUP($A91,'Species Library'!$A$6:$Z$150,COLUMN('Species Library'!I87),FALSE)), "",VLOOKUP($A91,'Species Library'!$A$6:$Z$150,COLUMN('Species Library'!I87),FALSE))</f>
        <v/>
      </c>
      <c r="K91" s="30" t="str">
        <f>IF(ISNA(VLOOKUP($A91,'Species Library'!$A$6:$Z$150,COLUMN('Species Library'!J87),FALSE)), "",VLOOKUP($A91,'Species Library'!$A$6:$Z$150,COLUMN('Species Library'!J87),FALSE))</f>
        <v/>
      </c>
      <c r="L91" s="30" t="str">
        <f>IF(ISNA(VLOOKUP($A91,'Species Library'!$A$6:$Z$150,COLUMN('Species Library'!K87),FALSE)), "",VLOOKUP($A91,'Species Library'!$A$6:$Z$150,COLUMN('Species Library'!K87),FALSE))</f>
        <v/>
      </c>
      <c r="M91" s="30" t="str">
        <f t="shared" si="5"/>
        <v/>
      </c>
      <c r="N91" s="30" t="str">
        <f>IF(ISNA(VLOOKUP($A91,'Species Library'!$A$6:$Z$150,COLUMN('Species Library'!L87),FALSE)), "",VLOOKUP($A91,'Species Library'!$A$6:$Z$150,COLUMN('Species Library'!L87),FALSE))</f>
        <v/>
      </c>
      <c r="O91" s="30" t="str">
        <f>IF(ISNA(VLOOKUP($A91,'Species Library'!$A$6:$Z$150,COLUMN('Species Library'!M87),FALSE)), "",VLOOKUP($A91,'Species Library'!$A$6:$Z$150,COLUMN('Species Library'!M87),FALSE))</f>
        <v/>
      </c>
      <c r="P91" s="30" t="str">
        <f>IF(ISNA(VLOOKUP($A91,'Species Library'!$A$6:$Z$150,COLUMN('Species Library'!N87),FALSE)), "",VLOOKUP($A91,'Species Library'!$A$6:$Z$150,COLUMN('Species Library'!N87),FALSE))</f>
        <v/>
      </c>
      <c r="Q91" s="30" t="str">
        <f t="shared" si="6"/>
        <v/>
      </c>
      <c r="R91" s="30" t="str">
        <f>IF(ISNA(VLOOKUP($A91,'Species Library'!$A$6:$Z$150,COLUMN('Species Library'!O87),FALSE)), "",VLOOKUP($A91,'Species Library'!$A$6:$Z$150,COLUMN('Species Library'!O87),FALSE))</f>
        <v/>
      </c>
      <c r="S91" s="30" t="str">
        <f>IF(ISNA(VLOOKUP($A91,'Species Library'!$A$6:$Z$150,COLUMN('Species Library'!P87),FALSE)), "",VLOOKUP($A91,'Species Library'!$A$6:$Z$150,COLUMN('Species Library'!P87),FALSE))</f>
        <v/>
      </c>
      <c r="T91" s="30" t="str">
        <f>IF(ISNA(VLOOKUP($A91,'Species Library'!$A$6:$Z$150,COLUMN('Species Library'!Q87),FALSE)), "",VLOOKUP($A91,'Species Library'!$A$6:$Z$150,COLUMN('Species Library'!Q87),FALSE))</f>
        <v/>
      </c>
      <c r="U91" s="30" t="str">
        <f>IF(ISNA(VLOOKUP($A91,'Species Library'!$A$6:$Z$150,COLUMN('Species Library'!R87),FALSE)), "",VLOOKUP($A91,'Species Library'!$A$6:$Z$150,COLUMN('Species Library'!R87),FALSE))</f>
        <v/>
      </c>
      <c r="V91" s="30" t="str">
        <f>IF(ISNA(VLOOKUP($A91,'Species Library'!$A$6:$Z$150,COLUMN('Species Library'!S87),FALSE)), "",VLOOKUP($A91,'Species Library'!$A$6:$Z$150,COLUMN('Species Library'!S87),FALSE))</f>
        <v/>
      </c>
      <c r="W91" s="30" t="str">
        <f>IF(ISNA(VLOOKUP($A91,'Species Library'!$A$6:$Z$150,COLUMN('Species Library'!T87),FALSE)), "",VLOOKUP($A91,'Species Library'!$A$6:$Z$150,COLUMN('Species Library'!T87),FALSE))</f>
        <v/>
      </c>
      <c r="X91" s="30" t="str">
        <f t="shared" si="7"/>
        <v/>
      </c>
      <c r="Y91" s="30" t="str">
        <f>IF(ISNA(VLOOKUP($A91,'Species Library'!$A$6:$Z$150,COLUMN('Species Library'!U87),FALSE)), "",VLOOKUP($A91,'Species Library'!$A$6:$Z$150,COLUMN('Species Library'!U87),FALSE))</f>
        <v/>
      </c>
      <c r="Z91" s="30" t="str">
        <f>IF(ISNA(VLOOKUP($A91,'Species Library'!$A$6:$Z$150,COLUMN('Species Library'!V87),FALSE)), "",VLOOKUP($A91,'Species Library'!$A$6:$Z$150,COLUMN('Species Library'!V87),FALSE))</f>
        <v/>
      </c>
      <c r="AA91" s="30" t="str">
        <f>IF(ISNA(VLOOKUP($A91,'Species Library'!$A$6:$Z$150,COLUMN('Species Library'!W87),FALSE)), "",VLOOKUP($A91,'Species Library'!$A$6:$Z$150,COLUMN('Species Library'!W87),FALSE))</f>
        <v/>
      </c>
      <c r="AB91" s="30" t="str">
        <f>IF(ISNA(VLOOKUP($A91,'Species Library'!$A$6:$Z$150,COLUMN('Species Library'!X87),FALSE)), "",VLOOKUP($A91,'Species Library'!$A$6:$Z$150,COLUMN('Species Library'!X87),FALSE))</f>
        <v/>
      </c>
      <c r="AC91" s="30" t="str">
        <f>IF(ISNA(VLOOKUP($A91,'Species Library'!$A$6:$Z$150,COLUMN('Species Library'!Y87),FALSE)), "",VLOOKUP($A91,'Species Library'!$A$6:$Z$150,COLUMN('Species Library'!Y87),FALSE))</f>
        <v/>
      </c>
      <c r="AD91" s="30" t="str">
        <f>IF(ISNA(VLOOKUP($A91,'Species Library'!$A$6:$Z$150,COLUMN('Species Library'!Z87),FALSE)), "",VLOOKUP($A91,'Species Library'!$A$6:$Z$150,COLUMN('Species Library'!Z87),FALSE))</f>
        <v/>
      </c>
    </row>
    <row r="92" spans="2:30" x14ac:dyDescent="0.4">
      <c r="B92" s="30" t="str">
        <f>IF(ISNA(VLOOKUP($A92,'Species Library'!$A$6:$Z$150,COLUMN('Species Library'!B88),FALSE)), "",VLOOKUP($A92,'Species Library'!$A$6:$Z$150,COLUMN('Species Library'!B88),FALSE))</f>
        <v/>
      </c>
      <c r="C92" s="30" t="str">
        <f>IF(ISNA(VLOOKUP($A92,'Species Library'!$A$6:$Z$150,COLUMN('Species Library'!C88),FALSE)), "",VLOOKUP($A92,'Species Library'!$A$6:$Z$150,COLUMN('Species Library'!C88),FALSE))</f>
        <v/>
      </c>
      <c r="D92" s="30" t="str">
        <f>IF(ISNA(VLOOKUP($A92,'Species Library'!$A$6:$Z$150,COLUMN('Species Library'!D88),FALSE)), "",VLOOKUP($A92,'Species Library'!$A$6:$Z$150,COLUMN('Species Library'!D88),FALSE))</f>
        <v/>
      </c>
      <c r="E92" s="30" t="str">
        <f>IF(ISNA(VLOOKUP($A92,'Species Library'!$A$6:$Z$150,COLUMN('Species Library'!E88),FALSE)), "",VLOOKUP($A92,'Species Library'!$A$6:$Z$150,COLUMN('Species Library'!E88),FALSE))</f>
        <v/>
      </c>
      <c r="F92" s="30" t="str">
        <f>IF(ISNA(VLOOKUP($A92,'Species Library'!$A$6:$Z$150,COLUMN('Species Library'!F88),FALSE)), "",VLOOKUP($A92,'Species Library'!$A$6:$Z$150,COLUMN('Species Library'!F88),FALSE))</f>
        <v/>
      </c>
      <c r="G92" s="30" t="str">
        <f t="shared" si="4"/>
        <v/>
      </c>
      <c r="H92" s="30" t="str">
        <f>IF(ISNA(VLOOKUP($A92,'Species Library'!$A$6:$Z$150,COLUMN('Species Library'!G88),FALSE)), "",VLOOKUP($A92,'Species Library'!$A$6:$Z$150,COLUMN('Species Library'!G88),FALSE))</f>
        <v/>
      </c>
      <c r="I92" s="30" t="str">
        <f>IF(ISNA(VLOOKUP($A92,'Species Library'!$A$6:$Z$150,COLUMN('Species Library'!H88),FALSE)), "",VLOOKUP($A92,'Species Library'!$A$6:$Z$150,COLUMN('Species Library'!H88),FALSE))</f>
        <v/>
      </c>
      <c r="J92" s="30" t="str">
        <f>IF(ISNA(VLOOKUP($A92,'Species Library'!$A$6:$Z$150,COLUMN('Species Library'!I88),FALSE)), "",VLOOKUP($A92,'Species Library'!$A$6:$Z$150,COLUMN('Species Library'!I88),FALSE))</f>
        <v/>
      </c>
      <c r="K92" s="30" t="str">
        <f>IF(ISNA(VLOOKUP($A92,'Species Library'!$A$6:$Z$150,COLUMN('Species Library'!J88),FALSE)), "",VLOOKUP($A92,'Species Library'!$A$6:$Z$150,COLUMN('Species Library'!J88),FALSE))</f>
        <v/>
      </c>
      <c r="L92" s="30" t="str">
        <f>IF(ISNA(VLOOKUP($A92,'Species Library'!$A$6:$Z$150,COLUMN('Species Library'!K88),FALSE)), "",VLOOKUP($A92,'Species Library'!$A$6:$Z$150,COLUMN('Species Library'!K88),FALSE))</f>
        <v/>
      </c>
      <c r="M92" s="30" t="str">
        <f t="shared" si="5"/>
        <v/>
      </c>
      <c r="N92" s="30" t="str">
        <f>IF(ISNA(VLOOKUP($A92,'Species Library'!$A$6:$Z$150,COLUMN('Species Library'!L88),FALSE)), "",VLOOKUP($A92,'Species Library'!$A$6:$Z$150,COLUMN('Species Library'!L88),FALSE))</f>
        <v/>
      </c>
      <c r="O92" s="30" t="str">
        <f>IF(ISNA(VLOOKUP($A92,'Species Library'!$A$6:$Z$150,COLUMN('Species Library'!M88),FALSE)), "",VLOOKUP($A92,'Species Library'!$A$6:$Z$150,COLUMN('Species Library'!M88),FALSE))</f>
        <v/>
      </c>
      <c r="P92" s="30" t="str">
        <f>IF(ISNA(VLOOKUP($A92,'Species Library'!$A$6:$Z$150,COLUMN('Species Library'!N88),FALSE)), "",VLOOKUP($A92,'Species Library'!$A$6:$Z$150,COLUMN('Species Library'!N88),FALSE))</f>
        <v/>
      </c>
      <c r="Q92" s="30" t="str">
        <f t="shared" si="6"/>
        <v/>
      </c>
      <c r="R92" s="30" t="str">
        <f>IF(ISNA(VLOOKUP($A92,'Species Library'!$A$6:$Z$150,COLUMN('Species Library'!O88),FALSE)), "",VLOOKUP($A92,'Species Library'!$A$6:$Z$150,COLUMN('Species Library'!O88),FALSE))</f>
        <v/>
      </c>
      <c r="S92" s="30" t="str">
        <f>IF(ISNA(VLOOKUP($A92,'Species Library'!$A$6:$Z$150,COLUMN('Species Library'!P88),FALSE)), "",VLOOKUP($A92,'Species Library'!$A$6:$Z$150,COLUMN('Species Library'!P88),FALSE))</f>
        <v/>
      </c>
      <c r="T92" s="30" t="str">
        <f>IF(ISNA(VLOOKUP($A92,'Species Library'!$A$6:$Z$150,COLUMN('Species Library'!Q88),FALSE)), "",VLOOKUP($A92,'Species Library'!$A$6:$Z$150,COLUMN('Species Library'!Q88),FALSE))</f>
        <v/>
      </c>
      <c r="U92" s="30" t="str">
        <f>IF(ISNA(VLOOKUP($A92,'Species Library'!$A$6:$Z$150,COLUMN('Species Library'!R88),FALSE)), "",VLOOKUP($A92,'Species Library'!$A$6:$Z$150,COLUMN('Species Library'!R88),FALSE))</f>
        <v/>
      </c>
      <c r="V92" s="30" t="str">
        <f>IF(ISNA(VLOOKUP($A92,'Species Library'!$A$6:$Z$150,COLUMN('Species Library'!S88),FALSE)), "",VLOOKUP($A92,'Species Library'!$A$6:$Z$150,COLUMN('Species Library'!S88),FALSE))</f>
        <v/>
      </c>
      <c r="W92" s="30" t="str">
        <f>IF(ISNA(VLOOKUP($A92,'Species Library'!$A$6:$Z$150,COLUMN('Species Library'!T88),FALSE)), "",VLOOKUP($A92,'Species Library'!$A$6:$Z$150,COLUMN('Species Library'!T88),FALSE))</f>
        <v/>
      </c>
      <c r="X92" s="30" t="str">
        <f t="shared" si="7"/>
        <v/>
      </c>
      <c r="Y92" s="30" t="str">
        <f>IF(ISNA(VLOOKUP($A92,'Species Library'!$A$6:$Z$150,COLUMN('Species Library'!U88),FALSE)), "",VLOOKUP($A92,'Species Library'!$A$6:$Z$150,COLUMN('Species Library'!U88),FALSE))</f>
        <v/>
      </c>
      <c r="Z92" s="30" t="str">
        <f>IF(ISNA(VLOOKUP($A92,'Species Library'!$A$6:$Z$150,COLUMN('Species Library'!V88),FALSE)), "",VLOOKUP($A92,'Species Library'!$A$6:$Z$150,COLUMN('Species Library'!V88),FALSE))</f>
        <v/>
      </c>
      <c r="AA92" s="30" t="str">
        <f>IF(ISNA(VLOOKUP($A92,'Species Library'!$A$6:$Z$150,COLUMN('Species Library'!W88),FALSE)), "",VLOOKUP($A92,'Species Library'!$A$6:$Z$150,COLUMN('Species Library'!W88),FALSE))</f>
        <v/>
      </c>
      <c r="AB92" s="30" t="str">
        <f>IF(ISNA(VLOOKUP($A92,'Species Library'!$A$6:$Z$150,COLUMN('Species Library'!X88),FALSE)), "",VLOOKUP($A92,'Species Library'!$A$6:$Z$150,COLUMN('Species Library'!X88),FALSE))</f>
        <v/>
      </c>
      <c r="AC92" s="30" t="str">
        <f>IF(ISNA(VLOOKUP($A92,'Species Library'!$A$6:$Z$150,COLUMN('Species Library'!Y88),FALSE)), "",VLOOKUP($A92,'Species Library'!$A$6:$Z$150,COLUMN('Species Library'!Y88),FALSE))</f>
        <v/>
      </c>
      <c r="AD92" s="30" t="str">
        <f>IF(ISNA(VLOOKUP($A92,'Species Library'!$A$6:$Z$150,COLUMN('Species Library'!Z88),FALSE)), "",VLOOKUP($A92,'Species Library'!$A$6:$Z$150,COLUMN('Species Library'!Z88),FALSE))</f>
        <v/>
      </c>
    </row>
    <row r="93" spans="2:30" x14ac:dyDescent="0.4">
      <c r="B93" s="30" t="str">
        <f>IF(ISNA(VLOOKUP($A93,'Species Library'!$A$6:$Z$150,COLUMN('Species Library'!B89),FALSE)), "",VLOOKUP($A93,'Species Library'!$A$6:$Z$150,COLUMN('Species Library'!B89),FALSE))</f>
        <v/>
      </c>
      <c r="C93" s="30" t="str">
        <f>IF(ISNA(VLOOKUP($A93,'Species Library'!$A$6:$Z$150,COLUMN('Species Library'!C89),FALSE)), "",VLOOKUP($A93,'Species Library'!$A$6:$Z$150,COLUMN('Species Library'!C89),FALSE))</f>
        <v/>
      </c>
      <c r="D93" s="30" t="str">
        <f>IF(ISNA(VLOOKUP($A93,'Species Library'!$A$6:$Z$150,COLUMN('Species Library'!D89),FALSE)), "",VLOOKUP($A93,'Species Library'!$A$6:$Z$150,COLUMN('Species Library'!D89),FALSE))</f>
        <v/>
      </c>
      <c r="E93" s="30" t="str">
        <f>IF(ISNA(VLOOKUP($A93,'Species Library'!$A$6:$Z$150,COLUMN('Species Library'!E89),FALSE)), "",VLOOKUP($A93,'Species Library'!$A$6:$Z$150,COLUMN('Species Library'!E89),FALSE))</f>
        <v/>
      </c>
      <c r="F93" s="30" t="str">
        <f>IF(ISNA(VLOOKUP($A93,'Species Library'!$A$6:$Z$150,COLUMN('Species Library'!F89),FALSE)), "",VLOOKUP($A93,'Species Library'!$A$6:$Z$150,COLUMN('Species Library'!F89),FALSE))</f>
        <v/>
      </c>
      <c r="G93" s="30" t="str">
        <f t="shared" si="4"/>
        <v/>
      </c>
      <c r="H93" s="30" t="str">
        <f>IF(ISNA(VLOOKUP($A93,'Species Library'!$A$6:$Z$150,COLUMN('Species Library'!G89),FALSE)), "",VLOOKUP($A93,'Species Library'!$A$6:$Z$150,COLUMN('Species Library'!G89),FALSE))</f>
        <v/>
      </c>
      <c r="I93" s="30" t="str">
        <f>IF(ISNA(VLOOKUP($A93,'Species Library'!$A$6:$Z$150,COLUMN('Species Library'!H89),FALSE)), "",VLOOKUP($A93,'Species Library'!$A$6:$Z$150,COLUMN('Species Library'!H89),FALSE))</f>
        <v/>
      </c>
      <c r="J93" s="30" t="str">
        <f>IF(ISNA(VLOOKUP($A93,'Species Library'!$A$6:$Z$150,COLUMN('Species Library'!I89),FALSE)), "",VLOOKUP($A93,'Species Library'!$A$6:$Z$150,COLUMN('Species Library'!I89),FALSE))</f>
        <v/>
      </c>
      <c r="K93" s="30" t="str">
        <f>IF(ISNA(VLOOKUP($A93,'Species Library'!$A$6:$Z$150,COLUMN('Species Library'!J89),FALSE)), "",VLOOKUP($A93,'Species Library'!$A$6:$Z$150,COLUMN('Species Library'!J89),FALSE))</f>
        <v/>
      </c>
      <c r="L93" s="30" t="str">
        <f>IF(ISNA(VLOOKUP($A93,'Species Library'!$A$6:$Z$150,COLUMN('Species Library'!K89),FALSE)), "",VLOOKUP($A93,'Species Library'!$A$6:$Z$150,COLUMN('Species Library'!K89),FALSE))</f>
        <v/>
      </c>
      <c r="M93" s="30" t="str">
        <f t="shared" si="5"/>
        <v/>
      </c>
      <c r="N93" s="30" t="str">
        <f>IF(ISNA(VLOOKUP($A93,'Species Library'!$A$6:$Z$150,COLUMN('Species Library'!L89),FALSE)), "",VLOOKUP($A93,'Species Library'!$A$6:$Z$150,COLUMN('Species Library'!L89),FALSE))</f>
        <v/>
      </c>
      <c r="O93" s="30" t="str">
        <f>IF(ISNA(VLOOKUP($A93,'Species Library'!$A$6:$Z$150,COLUMN('Species Library'!M89),FALSE)), "",VLOOKUP($A93,'Species Library'!$A$6:$Z$150,COLUMN('Species Library'!M89),FALSE))</f>
        <v/>
      </c>
      <c r="P93" s="30" t="str">
        <f>IF(ISNA(VLOOKUP($A93,'Species Library'!$A$6:$Z$150,COLUMN('Species Library'!N89),FALSE)), "",VLOOKUP($A93,'Species Library'!$A$6:$Z$150,COLUMN('Species Library'!N89),FALSE))</f>
        <v/>
      </c>
      <c r="Q93" s="30" t="str">
        <f t="shared" si="6"/>
        <v/>
      </c>
      <c r="R93" s="30" t="str">
        <f>IF(ISNA(VLOOKUP($A93,'Species Library'!$A$6:$Z$150,COLUMN('Species Library'!O89),FALSE)), "",VLOOKUP($A93,'Species Library'!$A$6:$Z$150,COLUMN('Species Library'!O89),FALSE))</f>
        <v/>
      </c>
      <c r="S93" s="30" t="str">
        <f>IF(ISNA(VLOOKUP($A93,'Species Library'!$A$6:$Z$150,COLUMN('Species Library'!P89),FALSE)), "",VLOOKUP($A93,'Species Library'!$A$6:$Z$150,COLUMN('Species Library'!P89),FALSE))</f>
        <v/>
      </c>
      <c r="T93" s="30" t="str">
        <f>IF(ISNA(VLOOKUP($A93,'Species Library'!$A$6:$Z$150,COLUMN('Species Library'!Q89),FALSE)), "",VLOOKUP($A93,'Species Library'!$A$6:$Z$150,COLUMN('Species Library'!Q89),FALSE))</f>
        <v/>
      </c>
      <c r="U93" s="30" t="str">
        <f>IF(ISNA(VLOOKUP($A93,'Species Library'!$A$6:$Z$150,COLUMN('Species Library'!R89),FALSE)), "",VLOOKUP($A93,'Species Library'!$A$6:$Z$150,COLUMN('Species Library'!R89),FALSE))</f>
        <v/>
      </c>
      <c r="V93" s="30" t="str">
        <f>IF(ISNA(VLOOKUP($A93,'Species Library'!$A$6:$Z$150,COLUMN('Species Library'!S89),FALSE)), "",VLOOKUP($A93,'Species Library'!$A$6:$Z$150,COLUMN('Species Library'!S89),FALSE))</f>
        <v/>
      </c>
      <c r="W93" s="30" t="str">
        <f>IF(ISNA(VLOOKUP($A93,'Species Library'!$A$6:$Z$150,COLUMN('Species Library'!T89),FALSE)), "",VLOOKUP($A93,'Species Library'!$A$6:$Z$150,COLUMN('Species Library'!T89),FALSE))</f>
        <v/>
      </c>
      <c r="X93" s="30" t="str">
        <f t="shared" si="7"/>
        <v/>
      </c>
      <c r="Y93" s="30" t="str">
        <f>IF(ISNA(VLOOKUP($A93,'Species Library'!$A$6:$Z$150,COLUMN('Species Library'!U89),FALSE)), "",VLOOKUP($A93,'Species Library'!$A$6:$Z$150,COLUMN('Species Library'!U89),FALSE))</f>
        <v/>
      </c>
      <c r="Z93" s="30" t="str">
        <f>IF(ISNA(VLOOKUP($A93,'Species Library'!$A$6:$Z$150,COLUMN('Species Library'!V89),FALSE)), "",VLOOKUP($A93,'Species Library'!$A$6:$Z$150,COLUMN('Species Library'!V89),FALSE))</f>
        <v/>
      </c>
      <c r="AA93" s="30" t="str">
        <f>IF(ISNA(VLOOKUP($A93,'Species Library'!$A$6:$Z$150,COLUMN('Species Library'!W89),FALSE)), "",VLOOKUP($A93,'Species Library'!$A$6:$Z$150,COLUMN('Species Library'!W89),FALSE))</f>
        <v/>
      </c>
      <c r="AB93" s="30" t="str">
        <f>IF(ISNA(VLOOKUP($A93,'Species Library'!$A$6:$Z$150,COLUMN('Species Library'!X89),FALSE)), "",VLOOKUP($A93,'Species Library'!$A$6:$Z$150,COLUMN('Species Library'!X89),FALSE))</f>
        <v/>
      </c>
      <c r="AC93" s="30" t="str">
        <f>IF(ISNA(VLOOKUP($A93,'Species Library'!$A$6:$Z$150,COLUMN('Species Library'!Y89),FALSE)), "",VLOOKUP($A93,'Species Library'!$A$6:$Z$150,COLUMN('Species Library'!Y89),FALSE))</f>
        <v/>
      </c>
      <c r="AD93" s="30" t="str">
        <f>IF(ISNA(VLOOKUP($A93,'Species Library'!$A$6:$Z$150,COLUMN('Species Library'!Z89),FALSE)), "",VLOOKUP($A93,'Species Library'!$A$6:$Z$150,COLUMN('Species Library'!Z89),FALSE))</f>
        <v/>
      </c>
    </row>
    <row r="94" spans="2:30" x14ac:dyDescent="0.4">
      <c r="B94" s="30" t="str">
        <f>IF(ISNA(VLOOKUP($A94,'Species Library'!$A$6:$Z$150,COLUMN('Species Library'!B90),FALSE)), "",VLOOKUP($A94,'Species Library'!$A$6:$Z$150,COLUMN('Species Library'!B90),FALSE))</f>
        <v/>
      </c>
      <c r="C94" s="30" t="str">
        <f>IF(ISNA(VLOOKUP($A94,'Species Library'!$A$6:$Z$150,COLUMN('Species Library'!C90),FALSE)), "",VLOOKUP($A94,'Species Library'!$A$6:$Z$150,COLUMN('Species Library'!C90),FALSE))</f>
        <v/>
      </c>
      <c r="D94" s="30" t="str">
        <f>IF(ISNA(VLOOKUP($A94,'Species Library'!$A$6:$Z$150,COLUMN('Species Library'!D90),FALSE)), "",VLOOKUP($A94,'Species Library'!$A$6:$Z$150,COLUMN('Species Library'!D90),FALSE))</f>
        <v/>
      </c>
      <c r="E94" s="30" t="str">
        <f>IF(ISNA(VLOOKUP($A94,'Species Library'!$A$6:$Z$150,COLUMN('Species Library'!E90),FALSE)), "",VLOOKUP($A94,'Species Library'!$A$6:$Z$150,COLUMN('Species Library'!E90),FALSE))</f>
        <v/>
      </c>
      <c r="F94" s="30" t="str">
        <f>IF(ISNA(VLOOKUP($A94,'Species Library'!$A$6:$Z$150,COLUMN('Species Library'!F90),FALSE)), "",VLOOKUP($A94,'Species Library'!$A$6:$Z$150,COLUMN('Species Library'!F90),FALSE))</f>
        <v/>
      </c>
      <c r="G94" s="30" t="str">
        <f t="shared" si="4"/>
        <v/>
      </c>
      <c r="H94" s="30" t="str">
        <f>IF(ISNA(VLOOKUP($A94,'Species Library'!$A$6:$Z$150,COLUMN('Species Library'!G90),FALSE)), "",VLOOKUP($A94,'Species Library'!$A$6:$Z$150,COLUMN('Species Library'!G90),FALSE))</f>
        <v/>
      </c>
      <c r="I94" s="30" t="str">
        <f>IF(ISNA(VLOOKUP($A94,'Species Library'!$A$6:$Z$150,COLUMN('Species Library'!H90),FALSE)), "",VLOOKUP($A94,'Species Library'!$A$6:$Z$150,COLUMN('Species Library'!H90),FALSE))</f>
        <v/>
      </c>
      <c r="J94" s="30" t="str">
        <f>IF(ISNA(VLOOKUP($A94,'Species Library'!$A$6:$Z$150,COLUMN('Species Library'!I90),FALSE)), "",VLOOKUP($A94,'Species Library'!$A$6:$Z$150,COLUMN('Species Library'!I90),FALSE))</f>
        <v/>
      </c>
      <c r="K94" s="30" t="str">
        <f>IF(ISNA(VLOOKUP($A94,'Species Library'!$A$6:$Z$150,COLUMN('Species Library'!J90),FALSE)), "",VLOOKUP($A94,'Species Library'!$A$6:$Z$150,COLUMN('Species Library'!J90),FALSE))</f>
        <v/>
      </c>
      <c r="L94" s="30" t="str">
        <f>IF(ISNA(VLOOKUP($A94,'Species Library'!$A$6:$Z$150,COLUMN('Species Library'!K90),FALSE)), "",VLOOKUP($A94,'Species Library'!$A$6:$Z$150,COLUMN('Species Library'!K90),FALSE))</f>
        <v/>
      </c>
      <c r="M94" s="30" t="str">
        <f t="shared" si="5"/>
        <v/>
      </c>
      <c r="N94" s="30" t="str">
        <f>IF(ISNA(VLOOKUP($A94,'Species Library'!$A$6:$Z$150,COLUMN('Species Library'!L90),FALSE)), "",VLOOKUP($A94,'Species Library'!$A$6:$Z$150,COLUMN('Species Library'!L90),FALSE))</f>
        <v/>
      </c>
      <c r="O94" s="30" t="str">
        <f>IF(ISNA(VLOOKUP($A94,'Species Library'!$A$6:$Z$150,COLUMN('Species Library'!M90),FALSE)), "",VLOOKUP($A94,'Species Library'!$A$6:$Z$150,COLUMN('Species Library'!M90),FALSE))</f>
        <v/>
      </c>
      <c r="P94" s="30" t="str">
        <f>IF(ISNA(VLOOKUP($A94,'Species Library'!$A$6:$Z$150,COLUMN('Species Library'!N90),FALSE)), "",VLOOKUP($A94,'Species Library'!$A$6:$Z$150,COLUMN('Species Library'!N90),FALSE))</f>
        <v/>
      </c>
      <c r="Q94" s="30" t="str">
        <f t="shared" si="6"/>
        <v/>
      </c>
      <c r="R94" s="30" t="str">
        <f>IF(ISNA(VLOOKUP($A94,'Species Library'!$A$6:$Z$150,COLUMN('Species Library'!O90),FALSE)), "",VLOOKUP($A94,'Species Library'!$A$6:$Z$150,COLUMN('Species Library'!O90),FALSE))</f>
        <v/>
      </c>
      <c r="S94" s="30" t="str">
        <f>IF(ISNA(VLOOKUP($A94,'Species Library'!$A$6:$Z$150,COLUMN('Species Library'!P90),FALSE)), "",VLOOKUP($A94,'Species Library'!$A$6:$Z$150,COLUMN('Species Library'!P90),FALSE))</f>
        <v/>
      </c>
      <c r="T94" s="30" t="str">
        <f>IF(ISNA(VLOOKUP($A94,'Species Library'!$A$6:$Z$150,COLUMN('Species Library'!Q90),FALSE)), "",VLOOKUP($A94,'Species Library'!$A$6:$Z$150,COLUMN('Species Library'!Q90),FALSE))</f>
        <v/>
      </c>
      <c r="U94" s="30" t="str">
        <f>IF(ISNA(VLOOKUP($A94,'Species Library'!$A$6:$Z$150,COLUMN('Species Library'!R90),FALSE)), "",VLOOKUP($A94,'Species Library'!$A$6:$Z$150,COLUMN('Species Library'!R90),FALSE))</f>
        <v/>
      </c>
      <c r="V94" s="30" t="str">
        <f>IF(ISNA(VLOOKUP($A94,'Species Library'!$A$6:$Z$150,COLUMN('Species Library'!S90),FALSE)), "",VLOOKUP($A94,'Species Library'!$A$6:$Z$150,COLUMN('Species Library'!S90),FALSE))</f>
        <v/>
      </c>
      <c r="W94" s="30" t="str">
        <f>IF(ISNA(VLOOKUP($A94,'Species Library'!$A$6:$Z$150,COLUMN('Species Library'!T90),FALSE)), "",VLOOKUP($A94,'Species Library'!$A$6:$Z$150,COLUMN('Species Library'!T90),FALSE))</f>
        <v/>
      </c>
      <c r="X94" s="30" t="str">
        <f t="shared" si="7"/>
        <v/>
      </c>
      <c r="Y94" s="30" t="str">
        <f>IF(ISNA(VLOOKUP($A94,'Species Library'!$A$6:$Z$150,COLUMN('Species Library'!U90),FALSE)), "",VLOOKUP($A94,'Species Library'!$A$6:$Z$150,COLUMN('Species Library'!U90),FALSE))</f>
        <v/>
      </c>
      <c r="Z94" s="30" t="str">
        <f>IF(ISNA(VLOOKUP($A94,'Species Library'!$A$6:$Z$150,COLUMN('Species Library'!V90),FALSE)), "",VLOOKUP($A94,'Species Library'!$A$6:$Z$150,COLUMN('Species Library'!V90),FALSE))</f>
        <v/>
      </c>
      <c r="AA94" s="30" t="str">
        <f>IF(ISNA(VLOOKUP($A94,'Species Library'!$A$6:$Z$150,COLUMN('Species Library'!W90),FALSE)), "",VLOOKUP($A94,'Species Library'!$A$6:$Z$150,COLUMN('Species Library'!W90),FALSE))</f>
        <v/>
      </c>
      <c r="AB94" s="30" t="str">
        <f>IF(ISNA(VLOOKUP($A94,'Species Library'!$A$6:$Z$150,COLUMN('Species Library'!X90),FALSE)), "",VLOOKUP($A94,'Species Library'!$A$6:$Z$150,COLUMN('Species Library'!X90),FALSE))</f>
        <v/>
      </c>
      <c r="AC94" s="30" t="str">
        <f>IF(ISNA(VLOOKUP($A94,'Species Library'!$A$6:$Z$150,COLUMN('Species Library'!Y90),FALSE)), "",VLOOKUP($A94,'Species Library'!$A$6:$Z$150,COLUMN('Species Library'!Y90),FALSE))</f>
        <v/>
      </c>
      <c r="AD94" s="30" t="str">
        <f>IF(ISNA(VLOOKUP($A94,'Species Library'!$A$6:$Z$150,COLUMN('Species Library'!Z90),FALSE)), "",VLOOKUP($A94,'Species Library'!$A$6:$Z$150,COLUMN('Species Library'!Z90),FALSE))</f>
        <v/>
      </c>
    </row>
    <row r="95" spans="2:30" x14ac:dyDescent="0.4">
      <c r="B95" s="30" t="str">
        <f>IF(ISNA(VLOOKUP($A95,'Species Library'!$A$6:$Z$150,COLUMN('Species Library'!B91),FALSE)), "",VLOOKUP($A95,'Species Library'!$A$6:$Z$150,COLUMN('Species Library'!B91),FALSE))</f>
        <v/>
      </c>
      <c r="C95" s="30" t="str">
        <f>IF(ISNA(VLOOKUP($A95,'Species Library'!$A$6:$Z$150,COLUMN('Species Library'!C91),FALSE)), "",VLOOKUP($A95,'Species Library'!$A$6:$Z$150,COLUMN('Species Library'!C91),FALSE))</f>
        <v/>
      </c>
      <c r="D95" s="30" t="str">
        <f>IF(ISNA(VLOOKUP($A95,'Species Library'!$A$6:$Z$150,COLUMN('Species Library'!D91),FALSE)), "",VLOOKUP($A95,'Species Library'!$A$6:$Z$150,COLUMN('Species Library'!D91),FALSE))</f>
        <v/>
      </c>
      <c r="E95" s="30" t="str">
        <f>IF(ISNA(VLOOKUP($A95,'Species Library'!$A$6:$Z$150,COLUMN('Species Library'!E91),FALSE)), "",VLOOKUP($A95,'Species Library'!$A$6:$Z$150,COLUMN('Species Library'!E91),FALSE))</f>
        <v/>
      </c>
      <c r="F95" s="30" t="str">
        <f>IF(ISNA(VLOOKUP($A95,'Species Library'!$A$6:$Z$150,COLUMN('Species Library'!F91),FALSE)), "",VLOOKUP($A95,'Species Library'!$A$6:$Z$150,COLUMN('Species Library'!F91),FALSE))</f>
        <v/>
      </c>
      <c r="G95" s="30" t="str">
        <f t="shared" si="4"/>
        <v/>
      </c>
      <c r="H95" s="30" t="str">
        <f>IF(ISNA(VLOOKUP($A95,'Species Library'!$A$6:$Z$150,COLUMN('Species Library'!G91),FALSE)), "",VLOOKUP($A95,'Species Library'!$A$6:$Z$150,COLUMN('Species Library'!G91),FALSE))</f>
        <v/>
      </c>
      <c r="I95" s="30" t="str">
        <f>IF(ISNA(VLOOKUP($A95,'Species Library'!$A$6:$Z$150,COLUMN('Species Library'!H91),FALSE)), "",VLOOKUP($A95,'Species Library'!$A$6:$Z$150,COLUMN('Species Library'!H91),FALSE))</f>
        <v/>
      </c>
      <c r="J95" s="30" t="str">
        <f>IF(ISNA(VLOOKUP($A95,'Species Library'!$A$6:$Z$150,COLUMN('Species Library'!I91),FALSE)), "",VLOOKUP($A95,'Species Library'!$A$6:$Z$150,COLUMN('Species Library'!I91),FALSE))</f>
        <v/>
      </c>
      <c r="K95" s="30" t="str">
        <f>IF(ISNA(VLOOKUP($A95,'Species Library'!$A$6:$Z$150,COLUMN('Species Library'!J91),FALSE)), "",VLOOKUP($A95,'Species Library'!$A$6:$Z$150,COLUMN('Species Library'!J91),FALSE))</f>
        <v/>
      </c>
      <c r="L95" s="30" t="str">
        <f>IF(ISNA(VLOOKUP($A95,'Species Library'!$A$6:$Z$150,COLUMN('Species Library'!K91),FALSE)), "",VLOOKUP($A95,'Species Library'!$A$6:$Z$150,COLUMN('Species Library'!K91),FALSE))</f>
        <v/>
      </c>
      <c r="M95" s="30" t="str">
        <f t="shared" si="5"/>
        <v/>
      </c>
      <c r="N95" s="30" t="str">
        <f>IF(ISNA(VLOOKUP($A95,'Species Library'!$A$6:$Z$150,COLUMN('Species Library'!L91),FALSE)), "",VLOOKUP($A95,'Species Library'!$A$6:$Z$150,COLUMN('Species Library'!L91),FALSE))</f>
        <v/>
      </c>
      <c r="O95" s="30" t="str">
        <f>IF(ISNA(VLOOKUP($A95,'Species Library'!$A$6:$Z$150,COLUMN('Species Library'!M91),FALSE)), "",VLOOKUP($A95,'Species Library'!$A$6:$Z$150,COLUMN('Species Library'!M91),FALSE))</f>
        <v/>
      </c>
      <c r="P95" s="30" t="str">
        <f>IF(ISNA(VLOOKUP($A95,'Species Library'!$A$6:$Z$150,COLUMN('Species Library'!N91),FALSE)), "",VLOOKUP($A95,'Species Library'!$A$6:$Z$150,COLUMN('Species Library'!N91),FALSE))</f>
        <v/>
      </c>
      <c r="Q95" s="30" t="str">
        <f t="shared" si="6"/>
        <v/>
      </c>
      <c r="R95" s="30" t="str">
        <f>IF(ISNA(VLOOKUP($A95,'Species Library'!$A$6:$Z$150,COLUMN('Species Library'!O91),FALSE)), "",VLOOKUP($A95,'Species Library'!$A$6:$Z$150,COLUMN('Species Library'!O91),FALSE))</f>
        <v/>
      </c>
      <c r="S95" s="30" t="str">
        <f>IF(ISNA(VLOOKUP($A95,'Species Library'!$A$6:$Z$150,COLUMN('Species Library'!P91),FALSE)), "",VLOOKUP($A95,'Species Library'!$A$6:$Z$150,COLUMN('Species Library'!P91),FALSE))</f>
        <v/>
      </c>
      <c r="T95" s="30" t="str">
        <f>IF(ISNA(VLOOKUP($A95,'Species Library'!$A$6:$Z$150,COLUMN('Species Library'!Q91),FALSE)), "",VLOOKUP($A95,'Species Library'!$A$6:$Z$150,COLUMN('Species Library'!Q91),FALSE))</f>
        <v/>
      </c>
      <c r="U95" s="30" t="str">
        <f>IF(ISNA(VLOOKUP($A95,'Species Library'!$A$6:$Z$150,COLUMN('Species Library'!R91),FALSE)), "",VLOOKUP($A95,'Species Library'!$A$6:$Z$150,COLUMN('Species Library'!R91),FALSE))</f>
        <v/>
      </c>
      <c r="V95" s="30" t="str">
        <f>IF(ISNA(VLOOKUP($A95,'Species Library'!$A$6:$Z$150,COLUMN('Species Library'!S91),FALSE)), "",VLOOKUP($A95,'Species Library'!$A$6:$Z$150,COLUMN('Species Library'!S91),FALSE))</f>
        <v/>
      </c>
      <c r="W95" s="30" t="str">
        <f>IF(ISNA(VLOOKUP($A95,'Species Library'!$A$6:$Z$150,COLUMN('Species Library'!T91),FALSE)), "",VLOOKUP($A95,'Species Library'!$A$6:$Z$150,COLUMN('Species Library'!T91),FALSE))</f>
        <v/>
      </c>
      <c r="X95" s="30" t="str">
        <f t="shared" si="7"/>
        <v/>
      </c>
      <c r="Y95" s="30" t="str">
        <f>IF(ISNA(VLOOKUP($A95,'Species Library'!$A$6:$Z$150,COLUMN('Species Library'!U91),FALSE)), "",VLOOKUP($A95,'Species Library'!$A$6:$Z$150,COLUMN('Species Library'!U91),FALSE))</f>
        <v/>
      </c>
      <c r="Z95" s="30" t="str">
        <f>IF(ISNA(VLOOKUP($A95,'Species Library'!$A$6:$Z$150,COLUMN('Species Library'!V91),FALSE)), "",VLOOKUP($A95,'Species Library'!$A$6:$Z$150,COLUMN('Species Library'!V91),FALSE))</f>
        <v/>
      </c>
      <c r="AA95" s="30" t="str">
        <f>IF(ISNA(VLOOKUP($A95,'Species Library'!$A$6:$Z$150,COLUMN('Species Library'!W91),FALSE)), "",VLOOKUP($A95,'Species Library'!$A$6:$Z$150,COLUMN('Species Library'!W91),FALSE))</f>
        <v/>
      </c>
      <c r="AB95" s="30" t="str">
        <f>IF(ISNA(VLOOKUP($A95,'Species Library'!$A$6:$Z$150,COLUMN('Species Library'!X91),FALSE)), "",VLOOKUP($A95,'Species Library'!$A$6:$Z$150,COLUMN('Species Library'!X91),FALSE))</f>
        <v/>
      </c>
      <c r="AC95" s="30" t="str">
        <f>IF(ISNA(VLOOKUP($A95,'Species Library'!$A$6:$Z$150,COLUMN('Species Library'!Y91),FALSE)), "",VLOOKUP($A95,'Species Library'!$A$6:$Z$150,COLUMN('Species Library'!Y91),FALSE))</f>
        <v/>
      </c>
      <c r="AD95" s="30" t="str">
        <f>IF(ISNA(VLOOKUP($A95,'Species Library'!$A$6:$Z$150,COLUMN('Species Library'!Z91),FALSE)), "",VLOOKUP($A95,'Species Library'!$A$6:$Z$150,COLUMN('Species Library'!Z91),FALSE))</f>
        <v/>
      </c>
    </row>
    <row r="96" spans="2:30" x14ac:dyDescent="0.4">
      <c r="B96" s="30" t="str">
        <f>IF(ISNA(VLOOKUP($A96,'Species Library'!$A$6:$Z$150,COLUMN('Species Library'!B92),FALSE)), "",VLOOKUP($A96,'Species Library'!$A$6:$Z$150,COLUMN('Species Library'!B92),FALSE))</f>
        <v/>
      </c>
      <c r="C96" s="30" t="str">
        <f>IF(ISNA(VLOOKUP($A96,'Species Library'!$A$6:$Z$150,COLUMN('Species Library'!C92),FALSE)), "",VLOOKUP($A96,'Species Library'!$A$6:$Z$150,COLUMN('Species Library'!C92),FALSE))</f>
        <v/>
      </c>
      <c r="D96" s="30" t="str">
        <f>IF(ISNA(VLOOKUP($A96,'Species Library'!$A$6:$Z$150,COLUMN('Species Library'!D92),FALSE)), "",VLOOKUP($A96,'Species Library'!$A$6:$Z$150,COLUMN('Species Library'!D92),FALSE))</f>
        <v/>
      </c>
      <c r="E96" s="30" t="str">
        <f>IF(ISNA(VLOOKUP($A96,'Species Library'!$A$6:$Z$150,COLUMN('Species Library'!E92),FALSE)), "",VLOOKUP($A96,'Species Library'!$A$6:$Z$150,COLUMN('Species Library'!E92),FALSE))</f>
        <v/>
      </c>
      <c r="F96" s="30" t="str">
        <f>IF(ISNA(VLOOKUP($A96,'Species Library'!$A$6:$Z$150,COLUMN('Species Library'!F92),FALSE)), "",VLOOKUP($A96,'Species Library'!$A$6:$Z$150,COLUMN('Species Library'!F92),FALSE))</f>
        <v/>
      </c>
      <c r="G96" s="30" t="str">
        <f t="shared" si="4"/>
        <v/>
      </c>
      <c r="H96" s="30" t="str">
        <f>IF(ISNA(VLOOKUP($A96,'Species Library'!$A$6:$Z$150,COLUMN('Species Library'!G92),FALSE)), "",VLOOKUP($A96,'Species Library'!$A$6:$Z$150,COLUMN('Species Library'!G92),FALSE))</f>
        <v/>
      </c>
      <c r="I96" s="30" t="str">
        <f>IF(ISNA(VLOOKUP($A96,'Species Library'!$A$6:$Z$150,COLUMN('Species Library'!H92),FALSE)), "",VLOOKUP($A96,'Species Library'!$A$6:$Z$150,COLUMN('Species Library'!H92),FALSE))</f>
        <v/>
      </c>
      <c r="J96" s="30" t="str">
        <f>IF(ISNA(VLOOKUP($A96,'Species Library'!$A$6:$Z$150,COLUMN('Species Library'!I92),FALSE)), "",VLOOKUP($A96,'Species Library'!$A$6:$Z$150,COLUMN('Species Library'!I92),FALSE))</f>
        <v/>
      </c>
      <c r="K96" s="30" t="str">
        <f>IF(ISNA(VLOOKUP($A96,'Species Library'!$A$6:$Z$150,COLUMN('Species Library'!J92),FALSE)), "",VLOOKUP($A96,'Species Library'!$A$6:$Z$150,COLUMN('Species Library'!J92),FALSE))</f>
        <v/>
      </c>
      <c r="L96" s="30" t="str">
        <f>IF(ISNA(VLOOKUP($A96,'Species Library'!$A$6:$Z$150,COLUMN('Species Library'!K92),FALSE)), "",VLOOKUP($A96,'Species Library'!$A$6:$Z$150,COLUMN('Species Library'!K92),FALSE))</f>
        <v/>
      </c>
      <c r="M96" s="30" t="str">
        <f t="shared" si="5"/>
        <v/>
      </c>
      <c r="N96" s="30" t="str">
        <f>IF(ISNA(VLOOKUP($A96,'Species Library'!$A$6:$Z$150,COLUMN('Species Library'!L92),FALSE)), "",VLOOKUP($A96,'Species Library'!$A$6:$Z$150,COLUMN('Species Library'!L92),FALSE))</f>
        <v/>
      </c>
      <c r="O96" s="30" t="str">
        <f>IF(ISNA(VLOOKUP($A96,'Species Library'!$A$6:$Z$150,COLUMN('Species Library'!M92),FALSE)), "",VLOOKUP($A96,'Species Library'!$A$6:$Z$150,COLUMN('Species Library'!M92),FALSE))</f>
        <v/>
      </c>
      <c r="P96" s="30" t="str">
        <f>IF(ISNA(VLOOKUP($A96,'Species Library'!$A$6:$Z$150,COLUMN('Species Library'!N92),FALSE)), "",VLOOKUP($A96,'Species Library'!$A$6:$Z$150,COLUMN('Species Library'!N92),FALSE))</f>
        <v/>
      </c>
      <c r="Q96" s="30" t="str">
        <f t="shared" si="6"/>
        <v/>
      </c>
      <c r="R96" s="30" t="str">
        <f>IF(ISNA(VLOOKUP($A96,'Species Library'!$A$6:$Z$150,COLUMN('Species Library'!O92),FALSE)), "",VLOOKUP($A96,'Species Library'!$A$6:$Z$150,COLUMN('Species Library'!O92),FALSE))</f>
        <v/>
      </c>
      <c r="S96" s="30" t="str">
        <f>IF(ISNA(VLOOKUP($A96,'Species Library'!$A$6:$Z$150,COLUMN('Species Library'!P92),FALSE)), "",VLOOKUP($A96,'Species Library'!$A$6:$Z$150,COLUMN('Species Library'!P92),FALSE))</f>
        <v/>
      </c>
      <c r="T96" s="30" t="str">
        <f>IF(ISNA(VLOOKUP($A96,'Species Library'!$A$6:$Z$150,COLUMN('Species Library'!Q92),FALSE)), "",VLOOKUP($A96,'Species Library'!$A$6:$Z$150,COLUMN('Species Library'!Q92),FALSE))</f>
        <v/>
      </c>
      <c r="U96" s="30" t="str">
        <f>IF(ISNA(VLOOKUP($A96,'Species Library'!$A$6:$Z$150,COLUMN('Species Library'!R92),FALSE)), "",VLOOKUP($A96,'Species Library'!$A$6:$Z$150,COLUMN('Species Library'!R92),FALSE))</f>
        <v/>
      </c>
      <c r="V96" s="30" t="str">
        <f>IF(ISNA(VLOOKUP($A96,'Species Library'!$A$6:$Z$150,COLUMN('Species Library'!S92),FALSE)), "",VLOOKUP($A96,'Species Library'!$A$6:$Z$150,COLUMN('Species Library'!S92),FALSE))</f>
        <v/>
      </c>
      <c r="W96" s="30" t="str">
        <f>IF(ISNA(VLOOKUP($A96,'Species Library'!$A$6:$Z$150,COLUMN('Species Library'!T92),FALSE)), "",VLOOKUP($A96,'Species Library'!$A$6:$Z$150,COLUMN('Species Library'!T92),FALSE))</f>
        <v/>
      </c>
      <c r="X96" s="30" t="str">
        <f t="shared" si="7"/>
        <v/>
      </c>
      <c r="Y96" s="30" t="str">
        <f>IF(ISNA(VLOOKUP($A96,'Species Library'!$A$6:$Z$150,COLUMN('Species Library'!U92),FALSE)), "",VLOOKUP($A96,'Species Library'!$A$6:$Z$150,COLUMN('Species Library'!U92),FALSE))</f>
        <v/>
      </c>
      <c r="Z96" s="30" t="str">
        <f>IF(ISNA(VLOOKUP($A96,'Species Library'!$A$6:$Z$150,COLUMN('Species Library'!V92),FALSE)), "",VLOOKUP($A96,'Species Library'!$A$6:$Z$150,COLUMN('Species Library'!V92),FALSE))</f>
        <v/>
      </c>
      <c r="AA96" s="30" t="str">
        <f>IF(ISNA(VLOOKUP($A96,'Species Library'!$A$6:$Z$150,COLUMN('Species Library'!W92),FALSE)), "",VLOOKUP($A96,'Species Library'!$A$6:$Z$150,COLUMN('Species Library'!W92),FALSE))</f>
        <v/>
      </c>
      <c r="AB96" s="30" t="str">
        <f>IF(ISNA(VLOOKUP($A96,'Species Library'!$A$6:$Z$150,COLUMN('Species Library'!X92),FALSE)), "",VLOOKUP($A96,'Species Library'!$A$6:$Z$150,COLUMN('Species Library'!X92),FALSE))</f>
        <v/>
      </c>
      <c r="AC96" s="30" t="str">
        <f>IF(ISNA(VLOOKUP($A96,'Species Library'!$A$6:$Z$150,COLUMN('Species Library'!Y92),FALSE)), "",VLOOKUP($A96,'Species Library'!$A$6:$Z$150,COLUMN('Species Library'!Y92),FALSE))</f>
        <v/>
      </c>
      <c r="AD96" s="30" t="str">
        <f>IF(ISNA(VLOOKUP($A96,'Species Library'!$A$6:$Z$150,COLUMN('Species Library'!Z92),FALSE)), "",VLOOKUP($A96,'Species Library'!$A$6:$Z$150,COLUMN('Species Library'!Z92),FALSE))</f>
        <v/>
      </c>
    </row>
    <row r="97" spans="1:30" x14ac:dyDescent="0.4">
      <c r="B97" s="30" t="str">
        <f>IF(ISNA(VLOOKUP($A97,'Species Library'!$A$6:$Z$150,COLUMN('Species Library'!B93),FALSE)), "",VLOOKUP($A97,'Species Library'!$A$6:$Z$150,COLUMN('Species Library'!B93),FALSE))</f>
        <v/>
      </c>
      <c r="C97" s="30" t="str">
        <f>IF(ISNA(VLOOKUP($A97,'Species Library'!$A$6:$Z$150,COLUMN('Species Library'!C93),FALSE)), "",VLOOKUP($A97,'Species Library'!$A$6:$Z$150,COLUMN('Species Library'!C93),FALSE))</f>
        <v/>
      </c>
      <c r="D97" s="30" t="str">
        <f>IF(ISNA(VLOOKUP($A97,'Species Library'!$A$6:$Z$150,COLUMN('Species Library'!D93),FALSE)), "",VLOOKUP($A97,'Species Library'!$A$6:$Z$150,COLUMN('Species Library'!D93),FALSE))</f>
        <v/>
      </c>
      <c r="E97" s="30" t="str">
        <f>IF(ISNA(VLOOKUP($A97,'Species Library'!$A$6:$Z$150,COLUMN('Species Library'!E93),FALSE)), "",VLOOKUP($A97,'Species Library'!$A$6:$Z$150,COLUMN('Species Library'!E93),FALSE))</f>
        <v/>
      </c>
      <c r="F97" s="30" t="str">
        <f>IF(ISNA(VLOOKUP($A97,'Species Library'!$A$6:$Z$150,COLUMN('Species Library'!F93),FALSE)), "",VLOOKUP($A97,'Species Library'!$A$6:$Z$150,COLUMN('Species Library'!F93),FALSE))</f>
        <v/>
      </c>
      <c r="G97" s="30" t="str">
        <f t="shared" si="4"/>
        <v/>
      </c>
      <c r="H97" s="30" t="str">
        <f>IF(ISNA(VLOOKUP($A97,'Species Library'!$A$6:$Z$150,COLUMN('Species Library'!G93),FALSE)), "",VLOOKUP($A97,'Species Library'!$A$6:$Z$150,COLUMN('Species Library'!G93),FALSE))</f>
        <v/>
      </c>
      <c r="I97" s="30" t="str">
        <f>IF(ISNA(VLOOKUP($A97,'Species Library'!$A$6:$Z$150,COLUMN('Species Library'!H93),FALSE)), "",VLOOKUP($A97,'Species Library'!$A$6:$Z$150,COLUMN('Species Library'!H93),FALSE))</f>
        <v/>
      </c>
      <c r="J97" s="30" t="str">
        <f>IF(ISNA(VLOOKUP($A97,'Species Library'!$A$6:$Z$150,COLUMN('Species Library'!I93),FALSE)), "",VLOOKUP($A97,'Species Library'!$A$6:$Z$150,COLUMN('Species Library'!I93),FALSE))</f>
        <v/>
      </c>
      <c r="K97" s="30" t="str">
        <f>IF(ISNA(VLOOKUP($A97,'Species Library'!$A$6:$Z$150,COLUMN('Species Library'!J93),FALSE)), "",VLOOKUP($A97,'Species Library'!$A$6:$Z$150,COLUMN('Species Library'!J93),FALSE))</f>
        <v/>
      </c>
      <c r="L97" s="30" t="str">
        <f>IF(ISNA(VLOOKUP($A97,'Species Library'!$A$6:$Z$150,COLUMN('Species Library'!K93),FALSE)), "",VLOOKUP($A97,'Species Library'!$A$6:$Z$150,COLUMN('Species Library'!K93),FALSE))</f>
        <v/>
      </c>
      <c r="M97" s="30" t="str">
        <f t="shared" si="5"/>
        <v/>
      </c>
      <c r="N97" s="30" t="str">
        <f>IF(ISNA(VLOOKUP($A97,'Species Library'!$A$6:$Z$150,COLUMN('Species Library'!L93),FALSE)), "",VLOOKUP($A97,'Species Library'!$A$6:$Z$150,COLUMN('Species Library'!L93),FALSE))</f>
        <v/>
      </c>
      <c r="O97" s="30" t="str">
        <f>IF(ISNA(VLOOKUP($A97,'Species Library'!$A$6:$Z$150,COLUMN('Species Library'!M93),FALSE)), "",VLOOKUP($A97,'Species Library'!$A$6:$Z$150,COLUMN('Species Library'!M93),FALSE))</f>
        <v/>
      </c>
      <c r="P97" s="30" t="str">
        <f>IF(ISNA(VLOOKUP($A97,'Species Library'!$A$6:$Z$150,COLUMN('Species Library'!N93),FALSE)), "",VLOOKUP($A97,'Species Library'!$A$6:$Z$150,COLUMN('Species Library'!N93),FALSE))</f>
        <v/>
      </c>
      <c r="Q97" s="30" t="str">
        <f t="shared" si="6"/>
        <v/>
      </c>
      <c r="R97" s="30" t="str">
        <f>IF(ISNA(VLOOKUP($A97,'Species Library'!$A$6:$Z$150,COLUMN('Species Library'!O93),FALSE)), "",VLOOKUP($A97,'Species Library'!$A$6:$Z$150,COLUMN('Species Library'!O93),FALSE))</f>
        <v/>
      </c>
      <c r="S97" s="30" t="str">
        <f>IF(ISNA(VLOOKUP($A97,'Species Library'!$A$6:$Z$150,COLUMN('Species Library'!P93),FALSE)), "",VLOOKUP($A97,'Species Library'!$A$6:$Z$150,COLUMN('Species Library'!P93),FALSE))</f>
        <v/>
      </c>
      <c r="T97" s="30" t="str">
        <f>IF(ISNA(VLOOKUP($A97,'Species Library'!$A$6:$Z$150,COLUMN('Species Library'!Q93),FALSE)), "",VLOOKUP($A97,'Species Library'!$A$6:$Z$150,COLUMN('Species Library'!Q93),FALSE))</f>
        <v/>
      </c>
      <c r="U97" s="30" t="str">
        <f>IF(ISNA(VLOOKUP($A97,'Species Library'!$A$6:$Z$150,COLUMN('Species Library'!R93),FALSE)), "",VLOOKUP($A97,'Species Library'!$A$6:$Z$150,COLUMN('Species Library'!R93),FALSE))</f>
        <v/>
      </c>
      <c r="V97" s="30" t="str">
        <f>IF(ISNA(VLOOKUP($A97,'Species Library'!$A$6:$Z$150,COLUMN('Species Library'!S93),FALSE)), "",VLOOKUP($A97,'Species Library'!$A$6:$Z$150,COLUMN('Species Library'!S93),FALSE))</f>
        <v/>
      </c>
      <c r="W97" s="30" t="str">
        <f>IF(ISNA(VLOOKUP($A97,'Species Library'!$A$6:$Z$150,COLUMN('Species Library'!T93),FALSE)), "",VLOOKUP($A97,'Species Library'!$A$6:$Z$150,COLUMN('Species Library'!T93),FALSE))</f>
        <v/>
      </c>
      <c r="X97" s="30" t="str">
        <f t="shared" si="7"/>
        <v/>
      </c>
      <c r="Y97" s="30" t="str">
        <f>IF(ISNA(VLOOKUP($A97,'Species Library'!$A$6:$Z$150,COLUMN('Species Library'!U93),FALSE)), "",VLOOKUP($A97,'Species Library'!$A$6:$Z$150,COLUMN('Species Library'!U93),FALSE))</f>
        <v/>
      </c>
      <c r="Z97" s="30" t="str">
        <f>IF(ISNA(VLOOKUP($A97,'Species Library'!$A$6:$Z$150,COLUMN('Species Library'!V93),FALSE)), "",VLOOKUP($A97,'Species Library'!$A$6:$Z$150,COLUMN('Species Library'!V93),FALSE))</f>
        <v/>
      </c>
      <c r="AA97" s="30" t="str">
        <f>IF(ISNA(VLOOKUP($A97,'Species Library'!$A$6:$Z$150,COLUMN('Species Library'!W93),FALSE)), "",VLOOKUP($A97,'Species Library'!$A$6:$Z$150,COLUMN('Species Library'!W93),FALSE))</f>
        <v/>
      </c>
      <c r="AB97" s="30" t="str">
        <f>IF(ISNA(VLOOKUP($A97,'Species Library'!$A$6:$Z$150,COLUMN('Species Library'!X93),FALSE)), "",VLOOKUP($A97,'Species Library'!$A$6:$Z$150,COLUMN('Species Library'!X93),FALSE))</f>
        <v/>
      </c>
      <c r="AC97" s="30" t="str">
        <f>IF(ISNA(VLOOKUP($A97,'Species Library'!$A$6:$Z$150,COLUMN('Species Library'!Y93),FALSE)), "",VLOOKUP($A97,'Species Library'!$A$6:$Z$150,COLUMN('Species Library'!Y93),FALSE))</f>
        <v/>
      </c>
      <c r="AD97" s="30" t="str">
        <f>IF(ISNA(VLOOKUP($A97,'Species Library'!$A$6:$Z$150,COLUMN('Species Library'!Z93),FALSE)), "",VLOOKUP($A97,'Species Library'!$A$6:$Z$150,COLUMN('Species Library'!Z93),FALSE))</f>
        <v/>
      </c>
    </row>
    <row r="98" spans="1:30" x14ac:dyDescent="0.4">
      <c r="B98" s="30" t="str">
        <f>IF(ISNA(VLOOKUP($A98,'Species Library'!$A$6:$Z$150,COLUMN('Species Library'!B94),FALSE)), "",VLOOKUP($A98,'Species Library'!$A$6:$Z$150,COLUMN('Species Library'!B94),FALSE))</f>
        <v/>
      </c>
      <c r="C98" s="30" t="str">
        <f>IF(ISNA(VLOOKUP($A98,'Species Library'!$A$6:$Z$150,COLUMN('Species Library'!C94),FALSE)), "",VLOOKUP($A98,'Species Library'!$A$6:$Z$150,COLUMN('Species Library'!C94),FALSE))</f>
        <v/>
      </c>
      <c r="D98" s="30" t="str">
        <f>IF(ISNA(VLOOKUP($A98,'Species Library'!$A$6:$Z$150,COLUMN('Species Library'!D94),FALSE)), "",VLOOKUP($A98,'Species Library'!$A$6:$Z$150,COLUMN('Species Library'!D94),FALSE))</f>
        <v/>
      </c>
      <c r="E98" s="30" t="str">
        <f>IF(ISNA(VLOOKUP($A98,'Species Library'!$A$6:$Z$150,COLUMN('Species Library'!E94),FALSE)), "",VLOOKUP($A98,'Species Library'!$A$6:$Z$150,COLUMN('Species Library'!E94),FALSE))</f>
        <v/>
      </c>
      <c r="F98" s="30" t="str">
        <f>IF(ISNA(VLOOKUP($A98,'Species Library'!$A$6:$Z$150,COLUMN('Species Library'!F94),FALSE)), "",VLOOKUP($A98,'Species Library'!$A$6:$Z$150,COLUMN('Species Library'!F94),FALSE))</f>
        <v/>
      </c>
      <c r="G98" s="30" t="str">
        <f t="shared" si="4"/>
        <v/>
      </c>
      <c r="H98" s="30" t="str">
        <f>IF(ISNA(VLOOKUP($A98,'Species Library'!$A$6:$Z$150,COLUMN('Species Library'!G94),FALSE)), "",VLOOKUP($A98,'Species Library'!$A$6:$Z$150,COLUMN('Species Library'!G94),FALSE))</f>
        <v/>
      </c>
      <c r="I98" s="30" t="str">
        <f>IF(ISNA(VLOOKUP($A98,'Species Library'!$A$6:$Z$150,COLUMN('Species Library'!H94),FALSE)), "",VLOOKUP($A98,'Species Library'!$A$6:$Z$150,COLUMN('Species Library'!H94),FALSE))</f>
        <v/>
      </c>
      <c r="J98" s="30" t="str">
        <f>IF(ISNA(VLOOKUP($A98,'Species Library'!$A$6:$Z$150,COLUMN('Species Library'!I94),FALSE)), "",VLOOKUP($A98,'Species Library'!$A$6:$Z$150,COLUMN('Species Library'!I94),FALSE))</f>
        <v/>
      </c>
      <c r="K98" s="30" t="str">
        <f>IF(ISNA(VLOOKUP($A98,'Species Library'!$A$6:$Z$150,COLUMN('Species Library'!J94),FALSE)), "",VLOOKUP($A98,'Species Library'!$A$6:$Z$150,COLUMN('Species Library'!J94),FALSE))</f>
        <v/>
      </c>
      <c r="L98" s="30" t="str">
        <f>IF(ISNA(VLOOKUP($A98,'Species Library'!$A$6:$Z$150,COLUMN('Species Library'!K94),FALSE)), "",VLOOKUP($A98,'Species Library'!$A$6:$Z$150,COLUMN('Species Library'!K94),FALSE))</f>
        <v/>
      </c>
      <c r="M98" s="30" t="str">
        <f t="shared" si="5"/>
        <v/>
      </c>
      <c r="N98" s="30" t="str">
        <f>IF(ISNA(VLOOKUP($A98,'Species Library'!$A$6:$Z$150,COLUMN('Species Library'!L94),FALSE)), "",VLOOKUP($A98,'Species Library'!$A$6:$Z$150,COLUMN('Species Library'!L94),FALSE))</f>
        <v/>
      </c>
      <c r="O98" s="30" t="str">
        <f>IF(ISNA(VLOOKUP($A98,'Species Library'!$A$6:$Z$150,COLUMN('Species Library'!M94),FALSE)), "",VLOOKUP($A98,'Species Library'!$A$6:$Z$150,COLUMN('Species Library'!M94),FALSE))</f>
        <v/>
      </c>
      <c r="P98" s="30" t="str">
        <f>IF(ISNA(VLOOKUP($A98,'Species Library'!$A$6:$Z$150,COLUMN('Species Library'!N94),FALSE)), "",VLOOKUP($A98,'Species Library'!$A$6:$Z$150,COLUMN('Species Library'!N94),FALSE))</f>
        <v/>
      </c>
      <c r="Q98" s="30" t="str">
        <f t="shared" si="6"/>
        <v/>
      </c>
      <c r="R98" s="30" t="str">
        <f>IF(ISNA(VLOOKUP($A98,'Species Library'!$A$6:$Z$150,COLUMN('Species Library'!O94),FALSE)), "",VLOOKUP($A98,'Species Library'!$A$6:$Z$150,COLUMN('Species Library'!O94),FALSE))</f>
        <v/>
      </c>
      <c r="S98" s="30" t="str">
        <f>IF(ISNA(VLOOKUP($A98,'Species Library'!$A$6:$Z$150,COLUMN('Species Library'!P94),FALSE)), "",VLOOKUP($A98,'Species Library'!$A$6:$Z$150,COLUMN('Species Library'!P94),FALSE))</f>
        <v/>
      </c>
      <c r="T98" s="30" t="str">
        <f>IF(ISNA(VLOOKUP($A98,'Species Library'!$A$6:$Z$150,COLUMN('Species Library'!Q94),FALSE)), "",VLOOKUP($A98,'Species Library'!$A$6:$Z$150,COLUMN('Species Library'!Q94),FALSE))</f>
        <v/>
      </c>
      <c r="U98" s="30" t="str">
        <f>IF(ISNA(VLOOKUP($A98,'Species Library'!$A$6:$Z$150,COLUMN('Species Library'!R94),FALSE)), "",VLOOKUP($A98,'Species Library'!$A$6:$Z$150,COLUMN('Species Library'!R94),FALSE))</f>
        <v/>
      </c>
      <c r="V98" s="30" t="str">
        <f>IF(ISNA(VLOOKUP($A98,'Species Library'!$A$6:$Z$150,COLUMN('Species Library'!S94),FALSE)), "",VLOOKUP($A98,'Species Library'!$A$6:$Z$150,COLUMN('Species Library'!S94),FALSE))</f>
        <v/>
      </c>
      <c r="W98" s="30" t="str">
        <f>IF(ISNA(VLOOKUP($A98,'Species Library'!$A$6:$Z$150,COLUMN('Species Library'!T94),FALSE)), "",VLOOKUP($A98,'Species Library'!$A$6:$Z$150,COLUMN('Species Library'!T94),FALSE))</f>
        <v/>
      </c>
      <c r="X98" s="30" t="str">
        <f t="shared" si="7"/>
        <v/>
      </c>
      <c r="Y98" s="30" t="str">
        <f>IF(ISNA(VLOOKUP($A98,'Species Library'!$A$6:$Z$150,COLUMN('Species Library'!U94),FALSE)), "",VLOOKUP($A98,'Species Library'!$A$6:$Z$150,COLUMN('Species Library'!U94),FALSE))</f>
        <v/>
      </c>
      <c r="Z98" s="30" t="str">
        <f>IF(ISNA(VLOOKUP($A98,'Species Library'!$A$6:$Z$150,COLUMN('Species Library'!V94),FALSE)), "",VLOOKUP($A98,'Species Library'!$A$6:$Z$150,COLUMN('Species Library'!V94),FALSE))</f>
        <v/>
      </c>
      <c r="AA98" s="30" t="str">
        <f>IF(ISNA(VLOOKUP($A98,'Species Library'!$A$6:$Z$150,COLUMN('Species Library'!W94),FALSE)), "",VLOOKUP($A98,'Species Library'!$A$6:$Z$150,COLUMN('Species Library'!W94),FALSE))</f>
        <v/>
      </c>
      <c r="AB98" s="30" t="str">
        <f>IF(ISNA(VLOOKUP($A98,'Species Library'!$A$6:$Z$150,COLUMN('Species Library'!X94),FALSE)), "",VLOOKUP($A98,'Species Library'!$A$6:$Z$150,COLUMN('Species Library'!X94),FALSE))</f>
        <v/>
      </c>
      <c r="AC98" s="30" t="str">
        <f>IF(ISNA(VLOOKUP($A98,'Species Library'!$A$6:$Z$150,COLUMN('Species Library'!Y94),FALSE)), "",VLOOKUP($A98,'Species Library'!$A$6:$Z$150,COLUMN('Species Library'!Y94),FALSE))</f>
        <v/>
      </c>
      <c r="AD98" s="30" t="str">
        <f>IF(ISNA(VLOOKUP($A98,'Species Library'!$A$6:$Z$150,COLUMN('Species Library'!Z94),FALSE)), "",VLOOKUP($A98,'Species Library'!$A$6:$Z$150,COLUMN('Species Library'!Z94),FALSE))</f>
        <v/>
      </c>
    </row>
    <row r="99" spans="1:30" x14ac:dyDescent="0.4">
      <c r="B99" s="30" t="str">
        <f>IF(ISNA(VLOOKUP($A99,'Species Library'!$A$6:$Z$150,COLUMN('Species Library'!B95),FALSE)), "",VLOOKUP($A99,'Species Library'!$A$6:$Z$150,COLUMN('Species Library'!B95),FALSE))</f>
        <v/>
      </c>
      <c r="C99" s="30" t="str">
        <f>IF(ISNA(VLOOKUP($A99,'Species Library'!$A$6:$Z$150,COLUMN('Species Library'!C95),FALSE)), "",VLOOKUP($A99,'Species Library'!$A$6:$Z$150,COLUMN('Species Library'!C95),FALSE))</f>
        <v/>
      </c>
      <c r="D99" s="30" t="str">
        <f>IF(ISNA(VLOOKUP($A99,'Species Library'!$A$6:$Z$150,COLUMN('Species Library'!D95),FALSE)), "",VLOOKUP($A99,'Species Library'!$A$6:$Z$150,COLUMN('Species Library'!D95),FALSE))</f>
        <v/>
      </c>
      <c r="E99" s="30" t="str">
        <f>IF(ISNA(VLOOKUP($A99,'Species Library'!$A$6:$Z$150,COLUMN('Species Library'!E95),FALSE)), "",VLOOKUP($A99,'Species Library'!$A$6:$Z$150,COLUMN('Species Library'!E95),FALSE))</f>
        <v/>
      </c>
      <c r="F99" s="30" t="str">
        <f>IF(ISNA(VLOOKUP($A99,'Species Library'!$A$6:$Z$150,COLUMN('Species Library'!F95),FALSE)), "",VLOOKUP($A99,'Species Library'!$A$6:$Z$150,COLUMN('Species Library'!F95),FALSE))</f>
        <v/>
      </c>
      <c r="G99" s="30" t="str">
        <f t="shared" si="4"/>
        <v/>
      </c>
      <c r="H99" s="30" t="str">
        <f>IF(ISNA(VLOOKUP($A99,'Species Library'!$A$6:$Z$150,COLUMN('Species Library'!G95),FALSE)), "",VLOOKUP($A99,'Species Library'!$A$6:$Z$150,COLUMN('Species Library'!G95),FALSE))</f>
        <v/>
      </c>
      <c r="I99" s="30" t="str">
        <f>IF(ISNA(VLOOKUP($A99,'Species Library'!$A$6:$Z$150,COLUMN('Species Library'!H95),FALSE)), "",VLOOKUP($A99,'Species Library'!$A$6:$Z$150,COLUMN('Species Library'!H95),FALSE))</f>
        <v/>
      </c>
      <c r="J99" s="30" t="str">
        <f>IF(ISNA(VLOOKUP($A99,'Species Library'!$A$6:$Z$150,COLUMN('Species Library'!I95),FALSE)), "",VLOOKUP($A99,'Species Library'!$A$6:$Z$150,COLUMN('Species Library'!I95),FALSE))</f>
        <v/>
      </c>
      <c r="K99" s="30" t="str">
        <f>IF(ISNA(VLOOKUP($A99,'Species Library'!$A$6:$Z$150,COLUMN('Species Library'!J95),FALSE)), "",VLOOKUP($A99,'Species Library'!$A$6:$Z$150,COLUMN('Species Library'!J95),FALSE))</f>
        <v/>
      </c>
      <c r="L99" s="30" t="str">
        <f>IF(ISNA(VLOOKUP($A99,'Species Library'!$A$6:$Z$150,COLUMN('Species Library'!K95),FALSE)), "",VLOOKUP($A99,'Species Library'!$A$6:$Z$150,COLUMN('Species Library'!K95),FALSE))</f>
        <v/>
      </c>
      <c r="M99" s="30" t="str">
        <f t="shared" si="5"/>
        <v/>
      </c>
      <c r="N99" s="30" t="str">
        <f>IF(ISNA(VLOOKUP($A99,'Species Library'!$A$6:$Z$150,COLUMN('Species Library'!L95),FALSE)), "",VLOOKUP($A99,'Species Library'!$A$6:$Z$150,COLUMN('Species Library'!L95),FALSE))</f>
        <v/>
      </c>
      <c r="O99" s="30" t="str">
        <f>IF(ISNA(VLOOKUP($A99,'Species Library'!$A$6:$Z$150,COLUMN('Species Library'!M95),FALSE)), "",VLOOKUP($A99,'Species Library'!$A$6:$Z$150,COLUMN('Species Library'!M95),FALSE))</f>
        <v/>
      </c>
      <c r="P99" s="30" t="str">
        <f>IF(ISNA(VLOOKUP($A99,'Species Library'!$A$6:$Z$150,COLUMN('Species Library'!N95),FALSE)), "",VLOOKUP($A99,'Species Library'!$A$6:$Z$150,COLUMN('Species Library'!N95),FALSE))</f>
        <v/>
      </c>
      <c r="Q99" s="30" t="str">
        <f t="shared" si="6"/>
        <v/>
      </c>
      <c r="R99" s="30" t="str">
        <f>IF(ISNA(VLOOKUP($A99,'Species Library'!$A$6:$Z$150,COLUMN('Species Library'!O95),FALSE)), "",VLOOKUP($A99,'Species Library'!$A$6:$Z$150,COLUMN('Species Library'!O95),FALSE))</f>
        <v/>
      </c>
      <c r="S99" s="30" t="str">
        <f>IF(ISNA(VLOOKUP($A99,'Species Library'!$A$6:$Z$150,COLUMN('Species Library'!P95),FALSE)), "",VLOOKUP($A99,'Species Library'!$A$6:$Z$150,COLUMN('Species Library'!P95),FALSE))</f>
        <v/>
      </c>
      <c r="T99" s="30" t="str">
        <f>IF(ISNA(VLOOKUP($A99,'Species Library'!$A$6:$Z$150,COLUMN('Species Library'!Q95),FALSE)), "",VLOOKUP($A99,'Species Library'!$A$6:$Z$150,COLUMN('Species Library'!Q95),FALSE))</f>
        <v/>
      </c>
      <c r="U99" s="30" t="str">
        <f>IF(ISNA(VLOOKUP($A99,'Species Library'!$A$6:$Z$150,COLUMN('Species Library'!R95),FALSE)), "",VLOOKUP($A99,'Species Library'!$A$6:$Z$150,COLUMN('Species Library'!R95),FALSE))</f>
        <v/>
      </c>
      <c r="V99" s="30" t="str">
        <f>IF(ISNA(VLOOKUP($A99,'Species Library'!$A$6:$Z$150,COLUMN('Species Library'!S95),FALSE)), "",VLOOKUP($A99,'Species Library'!$A$6:$Z$150,COLUMN('Species Library'!S95),FALSE))</f>
        <v/>
      </c>
      <c r="W99" s="30" t="str">
        <f>IF(ISNA(VLOOKUP($A99,'Species Library'!$A$6:$Z$150,COLUMN('Species Library'!T95),FALSE)), "",VLOOKUP($A99,'Species Library'!$A$6:$Z$150,COLUMN('Species Library'!T95),FALSE))</f>
        <v/>
      </c>
      <c r="X99" s="30" t="str">
        <f t="shared" si="7"/>
        <v/>
      </c>
      <c r="Y99" s="30" t="str">
        <f>IF(ISNA(VLOOKUP($A99,'Species Library'!$A$6:$Z$150,COLUMN('Species Library'!U95),FALSE)), "",VLOOKUP($A99,'Species Library'!$A$6:$Z$150,COLUMN('Species Library'!U95),FALSE))</f>
        <v/>
      </c>
      <c r="Z99" s="30" t="str">
        <f>IF(ISNA(VLOOKUP($A99,'Species Library'!$A$6:$Z$150,COLUMN('Species Library'!V95),FALSE)), "",VLOOKUP($A99,'Species Library'!$A$6:$Z$150,COLUMN('Species Library'!V95),FALSE))</f>
        <v/>
      </c>
      <c r="AA99" s="30" t="str">
        <f>IF(ISNA(VLOOKUP($A99,'Species Library'!$A$6:$Z$150,COLUMN('Species Library'!W95),FALSE)), "",VLOOKUP($A99,'Species Library'!$A$6:$Z$150,COLUMN('Species Library'!W95),FALSE))</f>
        <v/>
      </c>
      <c r="AB99" s="30" t="str">
        <f>IF(ISNA(VLOOKUP($A99,'Species Library'!$A$6:$Z$150,COLUMN('Species Library'!X95),FALSE)), "",VLOOKUP($A99,'Species Library'!$A$6:$Z$150,COLUMN('Species Library'!X95),FALSE))</f>
        <v/>
      </c>
      <c r="AC99" s="30" t="str">
        <f>IF(ISNA(VLOOKUP($A99,'Species Library'!$A$6:$Z$150,COLUMN('Species Library'!Y95),FALSE)), "",VLOOKUP($A99,'Species Library'!$A$6:$Z$150,COLUMN('Species Library'!Y95),FALSE))</f>
        <v/>
      </c>
      <c r="AD99" s="30" t="str">
        <f>IF(ISNA(VLOOKUP($A99,'Species Library'!$A$6:$Z$150,COLUMN('Species Library'!Z95),FALSE)), "",VLOOKUP($A99,'Species Library'!$A$6:$Z$150,COLUMN('Species Library'!Z95),FALSE))</f>
        <v/>
      </c>
    </row>
    <row r="100" spans="1:30" x14ac:dyDescent="0.4">
      <c r="B100" s="30" t="str">
        <f>IF(ISNA(VLOOKUP($A100,'Species Library'!$A$6:$Z$150,COLUMN('Species Library'!B96),FALSE)), "",VLOOKUP($A100,'Species Library'!$A$6:$Z$150,COLUMN('Species Library'!B96),FALSE))</f>
        <v/>
      </c>
      <c r="C100" s="30" t="str">
        <f>IF(ISNA(VLOOKUP($A100,'Species Library'!$A$6:$Z$150,COLUMN('Species Library'!C96),FALSE)), "",VLOOKUP($A100,'Species Library'!$A$6:$Z$150,COLUMN('Species Library'!C96),FALSE))</f>
        <v/>
      </c>
      <c r="D100" s="30" t="str">
        <f>IF(ISNA(VLOOKUP($A100,'Species Library'!$A$6:$Z$150,COLUMN('Species Library'!D96),FALSE)), "",VLOOKUP($A100,'Species Library'!$A$6:$Z$150,COLUMN('Species Library'!D96),FALSE))</f>
        <v/>
      </c>
      <c r="E100" s="30" t="str">
        <f>IF(ISNA(VLOOKUP($A100,'Species Library'!$A$6:$Z$150,COLUMN('Species Library'!E96),FALSE)), "",VLOOKUP($A100,'Species Library'!$A$6:$Z$150,COLUMN('Species Library'!E96),FALSE))</f>
        <v/>
      </c>
      <c r="F100" s="30" t="str">
        <f>IF(ISNA(VLOOKUP($A100,'Species Library'!$A$6:$Z$150,COLUMN('Species Library'!F96),FALSE)), "",VLOOKUP($A100,'Species Library'!$A$6:$Z$150,COLUMN('Species Library'!F96),FALSE))</f>
        <v/>
      </c>
      <c r="G100" s="30" t="str">
        <f t="shared" si="4"/>
        <v/>
      </c>
      <c r="H100" s="30" t="str">
        <f>IF(ISNA(VLOOKUP($A100,'Species Library'!$A$6:$Z$150,COLUMN('Species Library'!G96),FALSE)), "",VLOOKUP($A100,'Species Library'!$A$6:$Z$150,COLUMN('Species Library'!G96),FALSE))</f>
        <v/>
      </c>
      <c r="I100" s="30" t="str">
        <f>IF(ISNA(VLOOKUP($A100,'Species Library'!$A$6:$Z$150,COLUMN('Species Library'!H96),FALSE)), "",VLOOKUP($A100,'Species Library'!$A$6:$Z$150,COLUMN('Species Library'!H96),FALSE))</f>
        <v/>
      </c>
      <c r="J100" s="30" t="str">
        <f>IF(ISNA(VLOOKUP($A100,'Species Library'!$A$6:$Z$150,COLUMN('Species Library'!I96),FALSE)), "",VLOOKUP($A100,'Species Library'!$A$6:$Z$150,COLUMN('Species Library'!I96),FALSE))</f>
        <v/>
      </c>
      <c r="K100" s="30" t="str">
        <f>IF(ISNA(VLOOKUP($A100,'Species Library'!$A$6:$Z$150,COLUMN('Species Library'!J96),FALSE)), "",VLOOKUP($A100,'Species Library'!$A$6:$Z$150,COLUMN('Species Library'!J96),FALSE))</f>
        <v/>
      </c>
      <c r="L100" s="30" t="str">
        <f>IF(ISNA(VLOOKUP($A100,'Species Library'!$A$6:$Z$150,COLUMN('Species Library'!K96),FALSE)), "",VLOOKUP($A100,'Species Library'!$A$6:$Z$150,COLUMN('Species Library'!K96),FALSE))</f>
        <v/>
      </c>
      <c r="M100" s="30" t="str">
        <f t="shared" si="5"/>
        <v/>
      </c>
      <c r="N100" s="30" t="str">
        <f>IF(ISNA(VLOOKUP($A100,'Species Library'!$A$6:$Z$150,COLUMN('Species Library'!L96),FALSE)), "",VLOOKUP($A100,'Species Library'!$A$6:$Z$150,COLUMN('Species Library'!L96),FALSE))</f>
        <v/>
      </c>
      <c r="O100" s="30" t="str">
        <f>IF(ISNA(VLOOKUP($A100,'Species Library'!$A$6:$Z$150,COLUMN('Species Library'!M96),FALSE)), "",VLOOKUP($A100,'Species Library'!$A$6:$Z$150,COLUMN('Species Library'!M96),FALSE))</f>
        <v/>
      </c>
      <c r="P100" s="30" t="str">
        <f>IF(ISNA(VLOOKUP($A100,'Species Library'!$A$6:$Z$150,COLUMN('Species Library'!N96),FALSE)), "",VLOOKUP($A100,'Species Library'!$A$6:$Z$150,COLUMN('Species Library'!N96),FALSE))</f>
        <v/>
      </c>
      <c r="Q100" s="30" t="str">
        <f t="shared" si="6"/>
        <v/>
      </c>
      <c r="R100" s="30" t="str">
        <f>IF(ISNA(VLOOKUP($A100,'Species Library'!$A$6:$Z$150,COLUMN('Species Library'!O96),FALSE)), "",VLOOKUP($A100,'Species Library'!$A$6:$Z$150,COLUMN('Species Library'!O96),FALSE))</f>
        <v/>
      </c>
      <c r="S100" s="30" t="str">
        <f>IF(ISNA(VLOOKUP($A100,'Species Library'!$A$6:$Z$150,COLUMN('Species Library'!P96),FALSE)), "",VLOOKUP($A100,'Species Library'!$A$6:$Z$150,COLUMN('Species Library'!P96),FALSE))</f>
        <v/>
      </c>
      <c r="T100" s="30" t="str">
        <f>IF(ISNA(VLOOKUP($A100,'Species Library'!$A$6:$Z$150,COLUMN('Species Library'!Q96),FALSE)), "",VLOOKUP($A100,'Species Library'!$A$6:$Z$150,COLUMN('Species Library'!Q96),FALSE))</f>
        <v/>
      </c>
      <c r="U100" s="30" t="str">
        <f>IF(ISNA(VLOOKUP($A100,'Species Library'!$A$6:$Z$150,COLUMN('Species Library'!R96),FALSE)), "",VLOOKUP($A100,'Species Library'!$A$6:$Z$150,COLUMN('Species Library'!R96),FALSE))</f>
        <v/>
      </c>
      <c r="V100" s="30" t="str">
        <f>IF(ISNA(VLOOKUP($A100,'Species Library'!$A$6:$Z$150,COLUMN('Species Library'!S96),FALSE)), "",VLOOKUP($A100,'Species Library'!$A$6:$Z$150,COLUMN('Species Library'!S96),FALSE))</f>
        <v/>
      </c>
      <c r="W100" s="30" t="str">
        <f>IF(ISNA(VLOOKUP($A100,'Species Library'!$A$6:$Z$150,COLUMN('Species Library'!T96),FALSE)), "",VLOOKUP($A100,'Species Library'!$A$6:$Z$150,COLUMN('Species Library'!T96),FALSE))</f>
        <v/>
      </c>
      <c r="X100" s="30" t="str">
        <f t="shared" si="7"/>
        <v/>
      </c>
      <c r="Y100" s="30" t="str">
        <f>IF(ISNA(VLOOKUP($A100,'Species Library'!$A$6:$Z$150,COLUMN('Species Library'!U96),FALSE)), "",VLOOKUP($A100,'Species Library'!$A$6:$Z$150,COLUMN('Species Library'!U96),FALSE))</f>
        <v/>
      </c>
      <c r="Z100" s="30" t="str">
        <f>IF(ISNA(VLOOKUP($A100,'Species Library'!$A$6:$Z$150,COLUMN('Species Library'!V96),FALSE)), "",VLOOKUP($A100,'Species Library'!$A$6:$Z$150,COLUMN('Species Library'!V96),FALSE))</f>
        <v/>
      </c>
      <c r="AA100" s="30" t="str">
        <f>IF(ISNA(VLOOKUP($A100,'Species Library'!$A$6:$Z$150,COLUMN('Species Library'!W96),FALSE)), "",VLOOKUP($A100,'Species Library'!$A$6:$Z$150,COLUMN('Species Library'!W96),FALSE))</f>
        <v/>
      </c>
      <c r="AB100" s="30" t="str">
        <f>IF(ISNA(VLOOKUP($A100,'Species Library'!$A$6:$Z$150,COLUMN('Species Library'!X96),FALSE)), "",VLOOKUP($A100,'Species Library'!$A$6:$Z$150,COLUMN('Species Library'!X96),FALSE))</f>
        <v/>
      </c>
      <c r="AC100" s="30" t="str">
        <f>IF(ISNA(VLOOKUP($A100,'Species Library'!$A$6:$Z$150,COLUMN('Species Library'!Y96),FALSE)), "",VLOOKUP($A100,'Species Library'!$A$6:$Z$150,COLUMN('Species Library'!Y96),FALSE))</f>
        <v/>
      </c>
      <c r="AD100" s="30" t="str">
        <f>IF(ISNA(VLOOKUP($A100,'Species Library'!$A$6:$Z$150,COLUMN('Species Library'!Z96),FALSE)), "",VLOOKUP($A100,'Species Library'!$A$6:$Z$150,COLUMN('Species Library'!Z96),FALSE))</f>
        <v/>
      </c>
    </row>
    <row r="101" spans="1:30" x14ac:dyDescent="0.4">
      <c r="B101" s="30" t="str">
        <f>IF(ISNA(VLOOKUP($A101,'Species Library'!$A$6:$Z$150,COLUMN('Species Library'!B97),FALSE)), "",VLOOKUP($A101,'Species Library'!$A$6:$Z$150,COLUMN('Species Library'!B97),FALSE))</f>
        <v/>
      </c>
      <c r="C101" s="30" t="str">
        <f>IF(ISNA(VLOOKUP($A101,'Species Library'!$A$6:$Z$150,COLUMN('Species Library'!C97),FALSE)), "",VLOOKUP($A101,'Species Library'!$A$6:$Z$150,COLUMN('Species Library'!C97),FALSE))</f>
        <v/>
      </c>
      <c r="D101" s="30" t="str">
        <f>IF(ISNA(VLOOKUP($A101,'Species Library'!$A$6:$Z$150,COLUMN('Species Library'!D97),FALSE)), "",VLOOKUP($A101,'Species Library'!$A$6:$Z$150,COLUMN('Species Library'!D97),FALSE))</f>
        <v/>
      </c>
      <c r="E101" s="30" t="str">
        <f>IF(ISNA(VLOOKUP($A101,'Species Library'!$A$6:$Z$150,COLUMN('Species Library'!E97),FALSE)), "",VLOOKUP($A101,'Species Library'!$A$6:$Z$150,COLUMN('Species Library'!E97),FALSE))</f>
        <v/>
      </c>
      <c r="F101" s="30" t="str">
        <f>IF(ISNA(VLOOKUP($A101,'Species Library'!$A$6:$Z$150,COLUMN('Species Library'!F97),FALSE)), "",VLOOKUP($A101,'Species Library'!$A$6:$Z$150,COLUMN('Species Library'!F97),FALSE))</f>
        <v/>
      </c>
      <c r="G101" s="30" t="str">
        <f t="shared" si="4"/>
        <v/>
      </c>
      <c r="H101" s="30" t="str">
        <f>IF(ISNA(VLOOKUP($A101,'Species Library'!$A$6:$Z$150,COLUMN('Species Library'!G97),FALSE)), "",VLOOKUP($A101,'Species Library'!$A$6:$Z$150,COLUMN('Species Library'!G97),FALSE))</f>
        <v/>
      </c>
      <c r="I101" s="30" t="str">
        <f>IF(ISNA(VLOOKUP($A101,'Species Library'!$A$6:$Z$150,COLUMN('Species Library'!H97),FALSE)), "",VLOOKUP($A101,'Species Library'!$A$6:$Z$150,COLUMN('Species Library'!H97),FALSE))</f>
        <v/>
      </c>
      <c r="J101" s="30" t="str">
        <f>IF(ISNA(VLOOKUP($A101,'Species Library'!$A$6:$Z$150,COLUMN('Species Library'!I97),FALSE)), "",VLOOKUP($A101,'Species Library'!$A$6:$Z$150,COLUMN('Species Library'!I97),FALSE))</f>
        <v/>
      </c>
      <c r="K101" s="30" t="str">
        <f>IF(ISNA(VLOOKUP($A101,'Species Library'!$A$6:$Z$150,COLUMN('Species Library'!J97),FALSE)), "",VLOOKUP($A101,'Species Library'!$A$6:$Z$150,COLUMN('Species Library'!J97),FALSE))</f>
        <v/>
      </c>
      <c r="L101" s="30" t="str">
        <f>IF(ISNA(VLOOKUP($A101,'Species Library'!$A$6:$Z$150,COLUMN('Species Library'!K97),FALSE)), "",VLOOKUP($A101,'Species Library'!$A$6:$Z$150,COLUMN('Species Library'!K97),FALSE))</f>
        <v/>
      </c>
      <c r="M101" s="30" t="str">
        <f t="shared" si="5"/>
        <v/>
      </c>
      <c r="N101" s="30" t="str">
        <f>IF(ISNA(VLOOKUP($A101,'Species Library'!$A$6:$Z$150,COLUMN('Species Library'!L97),FALSE)), "",VLOOKUP($A101,'Species Library'!$A$6:$Z$150,COLUMN('Species Library'!L97),FALSE))</f>
        <v/>
      </c>
      <c r="O101" s="30" t="str">
        <f>IF(ISNA(VLOOKUP($A101,'Species Library'!$A$6:$Z$150,COLUMN('Species Library'!M97),FALSE)), "",VLOOKUP($A101,'Species Library'!$A$6:$Z$150,COLUMN('Species Library'!M97),FALSE))</f>
        <v/>
      </c>
      <c r="P101" s="30" t="str">
        <f>IF(ISNA(VLOOKUP($A101,'Species Library'!$A$6:$Z$150,COLUMN('Species Library'!N97),FALSE)), "",VLOOKUP($A101,'Species Library'!$A$6:$Z$150,COLUMN('Species Library'!N97),FALSE))</f>
        <v/>
      </c>
      <c r="Q101" s="30" t="str">
        <f t="shared" si="6"/>
        <v/>
      </c>
      <c r="R101" s="30" t="str">
        <f>IF(ISNA(VLOOKUP($A101,'Species Library'!$A$6:$Z$150,COLUMN('Species Library'!O97),FALSE)), "",VLOOKUP($A101,'Species Library'!$A$6:$Z$150,COLUMN('Species Library'!O97),FALSE))</f>
        <v/>
      </c>
      <c r="S101" s="30" t="str">
        <f>IF(ISNA(VLOOKUP($A101,'Species Library'!$A$6:$Z$150,COLUMN('Species Library'!P97),FALSE)), "",VLOOKUP($A101,'Species Library'!$A$6:$Z$150,COLUMN('Species Library'!P97),FALSE))</f>
        <v/>
      </c>
      <c r="T101" s="30" t="str">
        <f>IF(ISNA(VLOOKUP($A101,'Species Library'!$A$6:$Z$150,COLUMN('Species Library'!Q97),FALSE)), "",VLOOKUP($A101,'Species Library'!$A$6:$Z$150,COLUMN('Species Library'!Q97),FALSE))</f>
        <v/>
      </c>
      <c r="U101" s="30" t="str">
        <f>IF(ISNA(VLOOKUP($A101,'Species Library'!$A$6:$Z$150,COLUMN('Species Library'!R97),FALSE)), "",VLOOKUP($A101,'Species Library'!$A$6:$Z$150,COLUMN('Species Library'!R97),FALSE))</f>
        <v/>
      </c>
      <c r="V101" s="30" t="str">
        <f>IF(ISNA(VLOOKUP($A101,'Species Library'!$A$6:$Z$150,COLUMN('Species Library'!S97),FALSE)), "",VLOOKUP($A101,'Species Library'!$A$6:$Z$150,COLUMN('Species Library'!S97),FALSE))</f>
        <v/>
      </c>
      <c r="W101" s="30" t="str">
        <f>IF(ISNA(VLOOKUP($A101,'Species Library'!$A$6:$Z$150,COLUMN('Species Library'!T97),FALSE)), "",VLOOKUP($A101,'Species Library'!$A$6:$Z$150,COLUMN('Species Library'!T97),FALSE))</f>
        <v/>
      </c>
      <c r="X101" s="30" t="str">
        <f t="shared" si="7"/>
        <v/>
      </c>
      <c r="Y101" s="30" t="str">
        <f>IF(ISNA(VLOOKUP($A101,'Species Library'!$A$6:$Z$150,COLUMN('Species Library'!U97),FALSE)), "",VLOOKUP($A101,'Species Library'!$A$6:$Z$150,COLUMN('Species Library'!U97),FALSE))</f>
        <v/>
      </c>
      <c r="Z101" s="30" t="str">
        <f>IF(ISNA(VLOOKUP($A101,'Species Library'!$A$6:$Z$150,COLUMN('Species Library'!V97),FALSE)), "",VLOOKUP($A101,'Species Library'!$A$6:$Z$150,COLUMN('Species Library'!V97),FALSE))</f>
        <v/>
      </c>
      <c r="AA101" s="30" t="str">
        <f>IF(ISNA(VLOOKUP($A101,'Species Library'!$A$6:$Z$150,COLUMN('Species Library'!W97),FALSE)), "",VLOOKUP($A101,'Species Library'!$A$6:$Z$150,COLUMN('Species Library'!W97),FALSE))</f>
        <v/>
      </c>
      <c r="AB101" s="30" t="str">
        <f>IF(ISNA(VLOOKUP($A101,'Species Library'!$A$6:$Z$150,COLUMN('Species Library'!X97),FALSE)), "",VLOOKUP($A101,'Species Library'!$A$6:$Z$150,COLUMN('Species Library'!X97),FALSE))</f>
        <v/>
      </c>
      <c r="AC101" s="30" t="str">
        <f>IF(ISNA(VLOOKUP($A101,'Species Library'!$A$6:$Z$150,COLUMN('Species Library'!Y97),FALSE)), "",VLOOKUP($A101,'Species Library'!$A$6:$Z$150,COLUMN('Species Library'!Y97),FALSE))</f>
        <v/>
      </c>
      <c r="AD101" s="30" t="str">
        <f>IF(ISNA(VLOOKUP($A101,'Species Library'!$A$6:$Z$150,COLUMN('Species Library'!Z97),FALSE)), "",VLOOKUP($A101,'Species Library'!$A$6:$Z$150,COLUMN('Species Library'!Z97),FALSE))</f>
        <v/>
      </c>
    </row>
    <row r="102" spans="1:30" x14ac:dyDescent="0.4">
      <c r="B102" s="30" t="str">
        <f>IF(ISNA(VLOOKUP($A102,'Species Library'!$A$6:$Z$150,COLUMN('Species Library'!B98),FALSE)), "",VLOOKUP($A102,'Species Library'!$A$6:$Z$150,COLUMN('Species Library'!B98),FALSE))</f>
        <v/>
      </c>
      <c r="C102" s="30" t="str">
        <f>IF(ISNA(VLOOKUP($A102,'Species Library'!$A$6:$Z$150,COLUMN('Species Library'!C98),FALSE)), "",VLOOKUP($A102,'Species Library'!$A$6:$Z$150,COLUMN('Species Library'!C98),FALSE))</f>
        <v/>
      </c>
      <c r="D102" s="30" t="str">
        <f>IF(ISNA(VLOOKUP($A102,'Species Library'!$A$6:$Z$150,COLUMN('Species Library'!D98),FALSE)), "",VLOOKUP($A102,'Species Library'!$A$6:$Z$150,COLUMN('Species Library'!D98),FALSE))</f>
        <v/>
      </c>
      <c r="E102" s="30" t="str">
        <f>IF(ISNA(VLOOKUP($A102,'Species Library'!$A$6:$Z$150,COLUMN('Species Library'!E98),FALSE)), "",VLOOKUP($A102,'Species Library'!$A$6:$Z$150,COLUMN('Species Library'!E98),FALSE))</f>
        <v/>
      </c>
      <c r="F102" s="30" t="str">
        <f>IF(ISNA(VLOOKUP($A102,'Species Library'!$A$6:$Z$150,COLUMN('Species Library'!F98),FALSE)), "",VLOOKUP($A102,'Species Library'!$A$6:$Z$150,COLUMN('Species Library'!F98),FALSE))</f>
        <v/>
      </c>
      <c r="G102" s="30" t="str">
        <f t="shared" si="4"/>
        <v/>
      </c>
      <c r="H102" s="30" t="str">
        <f>IF(ISNA(VLOOKUP($A102,'Species Library'!$A$6:$Z$150,COLUMN('Species Library'!G98),FALSE)), "",VLOOKUP($A102,'Species Library'!$A$6:$Z$150,COLUMN('Species Library'!G98),FALSE))</f>
        <v/>
      </c>
      <c r="I102" s="30" t="str">
        <f>IF(ISNA(VLOOKUP($A102,'Species Library'!$A$6:$Z$150,COLUMN('Species Library'!H98),FALSE)), "",VLOOKUP($A102,'Species Library'!$A$6:$Z$150,COLUMN('Species Library'!H98),FALSE))</f>
        <v/>
      </c>
      <c r="J102" s="30" t="str">
        <f>IF(ISNA(VLOOKUP($A102,'Species Library'!$A$6:$Z$150,COLUMN('Species Library'!I98),FALSE)), "",VLOOKUP($A102,'Species Library'!$A$6:$Z$150,COLUMN('Species Library'!I98),FALSE))</f>
        <v/>
      </c>
      <c r="K102" s="30" t="str">
        <f>IF(ISNA(VLOOKUP($A102,'Species Library'!$A$6:$Z$150,COLUMN('Species Library'!J98),FALSE)), "",VLOOKUP($A102,'Species Library'!$A$6:$Z$150,COLUMN('Species Library'!J98),FALSE))</f>
        <v/>
      </c>
      <c r="L102" s="30" t="str">
        <f>IF(ISNA(VLOOKUP($A102,'Species Library'!$A$6:$Z$150,COLUMN('Species Library'!K98),FALSE)), "",VLOOKUP($A102,'Species Library'!$A$6:$Z$150,COLUMN('Species Library'!K98),FALSE))</f>
        <v/>
      </c>
      <c r="M102" s="30" t="str">
        <f t="shared" si="5"/>
        <v/>
      </c>
      <c r="N102" s="30" t="str">
        <f>IF(ISNA(VLOOKUP($A102,'Species Library'!$A$6:$Z$150,COLUMN('Species Library'!L98),FALSE)), "",VLOOKUP($A102,'Species Library'!$A$6:$Z$150,COLUMN('Species Library'!L98),FALSE))</f>
        <v/>
      </c>
      <c r="O102" s="30" t="str">
        <f>IF(ISNA(VLOOKUP($A102,'Species Library'!$A$6:$Z$150,COLUMN('Species Library'!M98),FALSE)), "",VLOOKUP($A102,'Species Library'!$A$6:$Z$150,COLUMN('Species Library'!M98),FALSE))</f>
        <v/>
      </c>
      <c r="P102" s="30" t="str">
        <f>IF(ISNA(VLOOKUP($A102,'Species Library'!$A$6:$Z$150,COLUMN('Species Library'!N98),FALSE)), "",VLOOKUP($A102,'Species Library'!$A$6:$Z$150,COLUMN('Species Library'!N98),FALSE))</f>
        <v/>
      </c>
      <c r="Q102" s="30" t="str">
        <f t="shared" si="6"/>
        <v/>
      </c>
      <c r="R102" s="30" t="str">
        <f>IF(ISNA(VLOOKUP($A102,'Species Library'!$A$6:$Z$150,COLUMN('Species Library'!O98),FALSE)), "",VLOOKUP($A102,'Species Library'!$A$6:$Z$150,COLUMN('Species Library'!O98),FALSE))</f>
        <v/>
      </c>
      <c r="S102" s="30" t="str">
        <f>IF(ISNA(VLOOKUP($A102,'Species Library'!$A$6:$Z$150,COLUMN('Species Library'!P98),FALSE)), "",VLOOKUP($A102,'Species Library'!$A$6:$Z$150,COLUMN('Species Library'!P98),FALSE))</f>
        <v/>
      </c>
      <c r="T102" s="30" t="str">
        <f>IF(ISNA(VLOOKUP($A102,'Species Library'!$A$6:$Z$150,COLUMN('Species Library'!Q98),FALSE)), "",VLOOKUP($A102,'Species Library'!$A$6:$Z$150,COLUMN('Species Library'!Q98),FALSE))</f>
        <v/>
      </c>
      <c r="U102" s="30" t="str">
        <f>IF(ISNA(VLOOKUP($A102,'Species Library'!$A$6:$Z$150,COLUMN('Species Library'!R98),FALSE)), "",VLOOKUP($A102,'Species Library'!$A$6:$Z$150,COLUMN('Species Library'!R98),FALSE))</f>
        <v/>
      </c>
      <c r="V102" s="30" t="str">
        <f>IF(ISNA(VLOOKUP($A102,'Species Library'!$A$6:$Z$150,COLUMN('Species Library'!S98),FALSE)), "",VLOOKUP($A102,'Species Library'!$A$6:$Z$150,COLUMN('Species Library'!S98),FALSE))</f>
        <v/>
      </c>
      <c r="W102" s="30" t="str">
        <f>IF(ISNA(VLOOKUP($A102,'Species Library'!$A$6:$Z$150,COLUMN('Species Library'!T98),FALSE)), "",VLOOKUP($A102,'Species Library'!$A$6:$Z$150,COLUMN('Species Library'!T98),FALSE))</f>
        <v/>
      </c>
      <c r="X102" s="30" t="str">
        <f t="shared" si="7"/>
        <v/>
      </c>
      <c r="Y102" s="30" t="str">
        <f>IF(ISNA(VLOOKUP($A102,'Species Library'!$A$6:$Z$150,COLUMN('Species Library'!U98),FALSE)), "",VLOOKUP($A102,'Species Library'!$A$6:$Z$150,COLUMN('Species Library'!U98),FALSE))</f>
        <v/>
      </c>
      <c r="Z102" s="30" t="str">
        <f>IF(ISNA(VLOOKUP($A102,'Species Library'!$A$6:$Z$150,COLUMN('Species Library'!V98),FALSE)), "",VLOOKUP($A102,'Species Library'!$A$6:$Z$150,COLUMN('Species Library'!V98),FALSE))</f>
        <v/>
      </c>
      <c r="AA102" s="30" t="str">
        <f>IF(ISNA(VLOOKUP($A102,'Species Library'!$A$6:$Z$150,COLUMN('Species Library'!W98),FALSE)), "",VLOOKUP($A102,'Species Library'!$A$6:$Z$150,COLUMN('Species Library'!W98),FALSE))</f>
        <v/>
      </c>
      <c r="AB102" s="30" t="str">
        <f>IF(ISNA(VLOOKUP($A102,'Species Library'!$A$6:$Z$150,COLUMN('Species Library'!X98),FALSE)), "",VLOOKUP($A102,'Species Library'!$A$6:$Z$150,COLUMN('Species Library'!X98),FALSE))</f>
        <v/>
      </c>
      <c r="AC102" s="30" t="str">
        <f>IF(ISNA(VLOOKUP($A102,'Species Library'!$A$6:$Z$150,COLUMN('Species Library'!Y98),FALSE)), "",VLOOKUP($A102,'Species Library'!$A$6:$Z$150,COLUMN('Species Library'!Y98),FALSE))</f>
        <v/>
      </c>
      <c r="AD102" s="30" t="str">
        <f>IF(ISNA(VLOOKUP($A102,'Species Library'!$A$6:$Z$150,COLUMN('Species Library'!Z98),FALSE)), "",VLOOKUP($A102,'Species Library'!$A$6:$Z$150,COLUMN('Species Library'!Z98),FALSE))</f>
        <v/>
      </c>
    </row>
    <row r="103" spans="1:30" x14ac:dyDescent="0.4">
      <c r="B103" s="30" t="str">
        <f>IF(ISNA(VLOOKUP($A103,'Species Library'!$A$6:$Z$150,COLUMN('Species Library'!B99),FALSE)), "",VLOOKUP($A103,'Species Library'!$A$6:$Z$150,COLUMN('Species Library'!B99),FALSE))</f>
        <v/>
      </c>
      <c r="C103" s="30" t="str">
        <f>IF(ISNA(VLOOKUP($A103,'Species Library'!$A$6:$Z$150,COLUMN('Species Library'!C99),FALSE)), "",VLOOKUP($A103,'Species Library'!$A$6:$Z$150,COLUMN('Species Library'!C99),FALSE))</f>
        <v/>
      </c>
      <c r="D103" s="30" t="str">
        <f>IF(ISNA(VLOOKUP($A103,'Species Library'!$A$6:$Z$150,COLUMN('Species Library'!D99),FALSE)), "",VLOOKUP($A103,'Species Library'!$A$6:$Z$150,COLUMN('Species Library'!D99),FALSE))</f>
        <v/>
      </c>
      <c r="E103" s="30" t="str">
        <f>IF(ISNA(VLOOKUP($A103,'Species Library'!$A$6:$Z$150,COLUMN('Species Library'!E99),FALSE)), "",VLOOKUP($A103,'Species Library'!$A$6:$Z$150,COLUMN('Species Library'!E99),FALSE))</f>
        <v/>
      </c>
      <c r="F103" s="30" t="str">
        <f>IF(ISNA(VLOOKUP($A103,'Species Library'!$A$6:$Z$150,COLUMN('Species Library'!F99),FALSE)), "",VLOOKUP($A103,'Species Library'!$A$6:$Z$150,COLUMN('Species Library'!F99),FALSE))</f>
        <v/>
      </c>
      <c r="G103" s="30" t="str">
        <f t="shared" si="4"/>
        <v/>
      </c>
      <c r="H103" s="30" t="str">
        <f>IF(ISNA(VLOOKUP($A103,'Species Library'!$A$6:$Z$150,COLUMN('Species Library'!G99),FALSE)), "",VLOOKUP($A103,'Species Library'!$A$6:$Z$150,COLUMN('Species Library'!G99),FALSE))</f>
        <v/>
      </c>
      <c r="I103" s="30" t="str">
        <f>IF(ISNA(VLOOKUP($A103,'Species Library'!$A$6:$Z$150,COLUMN('Species Library'!H99),FALSE)), "",VLOOKUP($A103,'Species Library'!$A$6:$Z$150,COLUMN('Species Library'!H99),FALSE))</f>
        <v/>
      </c>
      <c r="J103" s="30" t="str">
        <f>IF(ISNA(VLOOKUP($A103,'Species Library'!$A$6:$Z$150,COLUMN('Species Library'!I99),FALSE)), "",VLOOKUP($A103,'Species Library'!$A$6:$Z$150,COLUMN('Species Library'!I99),FALSE))</f>
        <v/>
      </c>
      <c r="K103" s="30" t="str">
        <f>IF(ISNA(VLOOKUP($A103,'Species Library'!$A$6:$Z$150,COLUMN('Species Library'!J99),FALSE)), "",VLOOKUP($A103,'Species Library'!$A$6:$Z$150,COLUMN('Species Library'!J99),FALSE))</f>
        <v/>
      </c>
      <c r="L103" s="30" t="str">
        <f>IF(ISNA(VLOOKUP($A103,'Species Library'!$A$6:$Z$150,COLUMN('Species Library'!K99),FALSE)), "",VLOOKUP($A103,'Species Library'!$A$6:$Z$150,COLUMN('Species Library'!K99),FALSE))</f>
        <v/>
      </c>
      <c r="M103" s="30" t="str">
        <f t="shared" si="5"/>
        <v/>
      </c>
      <c r="N103" s="30" t="str">
        <f>IF(ISNA(VLOOKUP($A103,'Species Library'!$A$6:$Z$150,COLUMN('Species Library'!L99),FALSE)), "",VLOOKUP($A103,'Species Library'!$A$6:$Z$150,COLUMN('Species Library'!L99),FALSE))</f>
        <v/>
      </c>
      <c r="O103" s="30" t="str">
        <f>IF(ISNA(VLOOKUP($A103,'Species Library'!$A$6:$Z$150,COLUMN('Species Library'!M99),FALSE)), "",VLOOKUP($A103,'Species Library'!$A$6:$Z$150,COLUMN('Species Library'!M99),FALSE))</f>
        <v/>
      </c>
      <c r="P103" s="30" t="str">
        <f>IF(ISNA(VLOOKUP($A103,'Species Library'!$A$6:$Z$150,COLUMN('Species Library'!N99),FALSE)), "",VLOOKUP($A103,'Species Library'!$A$6:$Z$150,COLUMN('Species Library'!N99),FALSE))</f>
        <v/>
      </c>
      <c r="Q103" s="30" t="str">
        <f t="shared" si="6"/>
        <v/>
      </c>
      <c r="R103" s="30" t="str">
        <f>IF(ISNA(VLOOKUP($A103,'Species Library'!$A$6:$Z$150,COLUMN('Species Library'!O99),FALSE)), "",VLOOKUP($A103,'Species Library'!$A$6:$Z$150,COLUMN('Species Library'!O99),FALSE))</f>
        <v/>
      </c>
      <c r="S103" s="30" t="str">
        <f>IF(ISNA(VLOOKUP($A103,'Species Library'!$A$6:$Z$150,COLUMN('Species Library'!P99),FALSE)), "",VLOOKUP($A103,'Species Library'!$A$6:$Z$150,COLUMN('Species Library'!P99),FALSE))</f>
        <v/>
      </c>
      <c r="T103" s="30" t="str">
        <f>IF(ISNA(VLOOKUP($A103,'Species Library'!$A$6:$Z$150,COLUMN('Species Library'!Q99),FALSE)), "",VLOOKUP($A103,'Species Library'!$A$6:$Z$150,COLUMN('Species Library'!Q99),FALSE))</f>
        <v/>
      </c>
      <c r="U103" s="30" t="str">
        <f>IF(ISNA(VLOOKUP($A103,'Species Library'!$A$6:$Z$150,COLUMN('Species Library'!R99),FALSE)), "",VLOOKUP($A103,'Species Library'!$A$6:$Z$150,COLUMN('Species Library'!R99),FALSE))</f>
        <v/>
      </c>
      <c r="V103" s="30" t="str">
        <f>IF(ISNA(VLOOKUP($A103,'Species Library'!$A$6:$Z$150,COLUMN('Species Library'!S99),FALSE)), "",VLOOKUP($A103,'Species Library'!$A$6:$Z$150,COLUMN('Species Library'!S99),FALSE))</f>
        <v/>
      </c>
      <c r="W103" s="30" t="str">
        <f>IF(ISNA(VLOOKUP($A103,'Species Library'!$A$6:$Z$150,COLUMN('Species Library'!T99),FALSE)), "",VLOOKUP($A103,'Species Library'!$A$6:$Z$150,COLUMN('Species Library'!T99),FALSE))</f>
        <v/>
      </c>
      <c r="X103" s="30" t="str">
        <f t="shared" si="7"/>
        <v/>
      </c>
      <c r="Y103" s="30" t="str">
        <f>IF(ISNA(VLOOKUP($A103,'Species Library'!$A$6:$Z$150,COLUMN('Species Library'!U99),FALSE)), "",VLOOKUP($A103,'Species Library'!$A$6:$Z$150,COLUMN('Species Library'!U99),FALSE))</f>
        <v/>
      </c>
      <c r="Z103" s="30" t="str">
        <f>IF(ISNA(VLOOKUP($A103,'Species Library'!$A$6:$Z$150,COLUMN('Species Library'!V99),FALSE)), "",VLOOKUP($A103,'Species Library'!$A$6:$Z$150,COLUMN('Species Library'!V99),FALSE))</f>
        <v/>
      </c>
      <c r="AA103" s="30" t="str">
        <f>IF(ISNA(VLOOKUP($A103,'Species Library'!$A$6:$Z$150,COLUMN('Species Library'!W99),FALSE)), "",VLOOKUP($A103,'Species Library'!$A$6:$Z$150,COLUMN('Species Library'!W99),FALSE))</f>
        <v/>
      </c>
      <c r="AB103" s="30" t="str">
        <f>IF(ISNA(VLOOKUP($A103,'Species Library'!$A$6:$Z$150,COLUMN('Species Library'!X99),FALSE)), "",VLOOKUP($A103,'Species Library'!$A$6:$Z$150,COLUMN('Species Library'!X99),FALSE))</f>
        <v/>
      </c>
      <c r="AC103" s="30" t="str">
        <f>IF(ISNA(VLOOKUP($A103,'Species Library'!$A$6:$Z$150,COLUMN('Species Library'!Y99),FALSE)), "",VLOOKUP($A103,'Species Library'!$A$6:$Z$150,COLUMN('Species Library'!Y99),FALSE))</f>
        <v/>
      </c>
      <c r="AD103" s="30" t="str">
        <f>IF(ISNA(VLOOKUP($A103,'Species Library'!$A$6:$Z$150,COLUMN('Species Library'!Z99),FALSE)), "",VLOOKUP($A103,'Species Library'!$A$6:$Z$150,COLUMN('Species Library'!Z99),FALSE))</f>
        <v/>
      </c>
    </row>
    <row r="104" spans="1:30" x14ac:dyDescent="0.4">
      <c r="B104" s="30" t="str">
        <f>IF(ISNA(VLOOKUP($A104,'Species Library'!$A$6:$Z$150,COLUMN('Species Library'!B100),FALSE)), "",VLOOKUP($A104,'Species Library'!$A$6:$Z$150,COLUMN('Species Library'!B100),FALSE))</f>
        <v/>
      </c>
      <c r="C104" s="30" t="str">
        <f>IF(ISNA(VLOOKUP($A104,'Species Library'!$A$6:$Z$150,COLUMN('Species Library'!C100),FALSE)), "",VLOOKUP($A104,'Species Library'!$A$6:$Z$150,COLUMN('Species Library'!C100),FALSE))</f>
        <v/>
      </c>
      <c r="D104" s="30" t="str">
        <f>IF(ISNA(VLOOKUP($A104,'Species Library'!$A$6:$Z$150,COLUMN('Species Library'!D100),FALSE)), "",VLOOKUP($A104,'Species Library'!$A$6:$Z$150,COLUMN('Species Library'!D100),FALSE))</f>
        <v/>
      </c>
      <c r="E104" s="30" t="str">
        <f>IF(ISNA(VLOOKUP($A104,'Species Library'!$A$6:$Z$150,COLUMN('Species Library'!E100),FALSE)), "",VLOOKUP($A104,'Species Library'!$A$6:$Z$150,COLUMN('Species Library'!E100),FALSE))</f>
        <v/>
      </c>
      <c r="F104" s="30" t="str">
        <f>IF(ISNA(VLOOKUP($A104,'Species Library'!$A$6:$Z$150,COLUMN('Species Library'!F100),FALSE)), "",VLOOKUP($A104,'Species Library'!$A$6:$Z$150,COLUMN('Species Library'!F100),FALSE))</f>
        <v/>
      </c>
      <c r="G104" s="30" t="str">
        <f t="shared" si="4"/>
        <v/>
      </c>
      <c r="H104" s="30" t="str">
        <f>IF(ISNA(VLOOKUP($A104,'Species Library'!$A$6:$Z$150,COLUMN('Species Library'!G100),FALSE)), "",VLOOKUP($A104,'Species Library'!$A$6:$Z$150,COLUMN('Species Library'!G100),FALSE))</f>
        <v/>
      </c>
      <c r="I104" s="30" t="str">
        <f>IF(ISNA(VLOOKUP($A104,'Species Library'!$A$6:$Z$150,COLUMN('Species Library'!H100),FALSE)), "",VLOOKUP($A104,'Species Library'!$A$6:$Z$150,COLUMN('Species Library'!H100),FALSE))</f>
        <v/>
      </c>
      <c r="J104" s="30" t="str">
        <f>IF(ISNA(VLOOKUP($A104,'Species Library'!$A$6:$Z$150,COLUMN('Species Library'!I100),FALSE)), "",VLOOKUP($A104,'Species Library'!$A$6:$Z$150,COLUMN('Species Library'!I100),FALSE))</f>
        <v/>
      </c>
      <c r="K104" s="30" t="str">
        <f>IF(ISNA(VLOOKUP($A104,'Species Library'!$A$6:$Z$150,COLUMN('Species Library'!J100),FALSE)), "",VLOOKUP($A104,'Species Library'!$A$6:$Z$150,COLUMN('Species Library'!J100),FALSE))</f>
        <v/>
      </c>
      <c r="L104" s="30" t="str">
        <f>IF(ISNA(VLOOKUP($A104,'Species Library'!$A$6:$Z$150,COLUMN('Species Library'!K100),FALSE)), "",VLOOKUP($A104,'Species Library'!$A$6:$Z$150,COLUMN('Species Library'!K100),FALSE))</f>
        <v/>
      </c>
      <c r="M104" s="30" t="str">
        <f t="shared" si="5"/>
        <v/>
      </c>
      <c r="N104" s="30" t="str">
        <f>IF(ISNA(VLOOKUP($A104,'Species Library'!$A$6:$Z$150,COLUMN('Species Library'!L100),FALSE)), "",VLOOKUP($A104,'Species Library'!$A$6:$Z$150,COLUMN('Species Library'!L100),FALSE))</f>
        <v/>
      </c>
      <c r="O104" s="30" t="str">
        <f>IF(ISNA(VLOOKUP($A104,'Species Library'!$A$6:$Z$150,COLUMN('Species Library'!M100),FALSE)), "",VLOOKUP($A104,'Species Library'!$A$6:$Z$150,COLUMN('Species Library'!M100),FALSE))</f>
        <v/>
      </c>
      <c r="P104" s="30" t="str">
        <f>IF(ISNA(VLOOKUP($A104,'Species Library'!$A$6:$Z$150,COLUMN('Species Library'!N100),FALSE)), "",VLOOKUP($A104,'Species Library'!$A$6:$Z$150,COLUMN('Species Library'!N100),FALSE))</f>
        <v/>
      </c>
      <c r="Q104" s="30" t="str">
        <f t="shared" si="6"/>
        <v/>
      </c>
      <c r="R104" s="30" t="str">
        <f>IF(ISNA(VLOOKUP($A104,'Species Library'!$A$6:$Z$150,COLUMN('Species Library'!O100),FALSE)), "",VLOOKUP($A104,'Species Library'!$A$6:$Z$150,COLUMN('Species Library'!O100),FALSE))</f>
        <v/>
      </c>
      <c r="S104" s="30" t="str">
        <f>IF(ISNA(VLOOKUP($A104,'Species Library'!$A$6:$Z$150,COLUMN('Species Library'!P100),FALSE)), "",VLOOKUP($A104,'Species Library'!$A$6:$Z$150,COLUMN('Species Library'!P100),FALSE))</f>
        <v/>
      </c>
      <c r="T104" s="30" t="str">
        <f>IF(ISNA(VLOOKUP($A104,'Species Library'!$A$6:$Z$150,COLUMN('Species Library'!Q100),FALSE)), "",VLOOKUP($A104,'Species Library'!$A$6:$Z$150,COLUMN('Species Library'!Q100),FALSE))</f>
        <v/>
      </c>
      <c r="U104" s="30" t="str">
        <f>IF(ISNA(VLOOKUP($A104,'Species Library'!$A$6:$Z$150,COLUMN('Species Library'!R100),FALSE)), "",VLOOKUP($A104,'Species Library'!$A$6:$Z$150,COLUMN('Species Library'!R100),FALSE))</f>
        <v/>
      </c>
      <c r="V104" s="30" t="str">
        <f>IF(ISNA(VLOOKUP($A104,'Species Library'!$A$6:$Z$150,COLUMN('Species Library'!S100),FALSE)), "",VLOOKUP($A104,'Species Library'!$A$6:$Z$150,COLUMN('Species Library'!S100),FALSE))</f>
        <v/>
      </c>
      <c r="W104" s="30" t="str">
        <f>IF(ISNA(VLOOKUP($A104,'Species Library'!$A$6:$Z$150,COLUMN('Species Library'!T100),FALSE)), "",VLOOKUP($A104,'Species Library'!$A$6:$Z$150,COLUMN('Species Library'!T100),FALSE))</f>
        <v/>
      </c>
      <c r="X104" s="30" t="str">
        <f t="shared" si="7"/>
        <v/>
      </c>
      <c r="Y104" s="30" t="str">
        <f>IF(ISNA(VLOOKUP($A104,'Species Library'!$A$6:$Z$150,COLUMN('Species Library'!U100),FALSE)), "",VLOOKUP($A104,'Species Library'!$A$6:$Z$150,COLUMN('Species Library'!U100),FALSE))</f>
        <v/>
      </c>
      <c r="Z104" s="30" t="str">
        <f>IF(ISNA(VLOOKUP($A104,'Species Library'!$A$6:$Z$150,COLUMN('Species Library'!V100),FALSE)), "",VLOOKUP($A104,'Species Library'!$A$6:$Z$150,COLUMN('Species Library'!V100),FALSE))</f>
        <v/>
      </c>
      <c r="AA104" s="30" t="str">
        <f>IF(ISNA(VLOOKUP($A104,'Species Library'!$A$6:$Z$150,COLUMN('Species Library'!W100),FALSE)), "",VLOOKUP($A104,'Species Library'!$A$6:$Z$150,COLUMN('Species Library'!W100),FALSE))</f>
        <v/>
      </c>
      <c r="AB104" s="30" t="str">
        <f>IF(ISNA(VLOOKUP($A104,'Species Library'!$A$6:$Z$150,COLUMN('Species Library'!X100),FALSE)), "",VLOOKUP($A104,'Species Library'!$A$6:$Z$150,COLUMN('Species Library'!X100),FALSE))</f>
        <v/>
      </c>
      <c r="AC104" s="30" t="str">
        <f>IF(ISNA(VLOOKUP($A104,'Species Library'!$A$6:$Z$150,COLUMN('Species Library'!Y100),FALSE)), "",VLOOKUP($A104,'Species Library'!$A$6:$Z$150,COLUMN('Species Library'!Y100),FALSE))</f>
        <v/>
      </c>
      <c r="AD104" s="30" t="str">
        <f>IF(ISNA(VLOOKUP($A104,'Species Library'!$A$6:$Z$150,COLUMN('Species Library'!Z100),FALSE)), "",VLOOKUP($A104,'Species Library'!$A$6:$Z$150,COLUMN('Species Library'!Z100),FALSE))</f>
        <v/>
      </c>
    </row>
    <row r="105" spans="1:30" x14ac:dyDescent="0.4">
      <c r="B105" s="30" t="str">
        <f>IF(ISNA(VLOOKUP($A105,'Species Library'!$A$6:$Z$150,COLUMN('Species Library'!B101),FALSE)), "",VLOOKUP($A105,'Species Library'!$A$6:$Z$150,COLUMN('Species Library'!B101),FALSE))</f>
        <v/>
      </c>
      <c r="C105" s="30" t="str">
        <f>IF(ISNA(VLOOKUP($A105,'Species Library'!$A$6:$Z$150,COLUMN('Species Library'!C101),FALSE)), "",VLOOKUP($A105,'Species Library'!$A$6:$Z$150,COLUMN('Species Library'!C101),FALSE))</f>
        <v/>
      </c>
      <c r="D105" s="30" t="str">
        <f>IF(ISNA(VLOOKUP($A105,'Species Library'!$A$6:$Z$150,COLUMN('Species Library'!D101),FALSE)), "",VLOOKUP($A105,'Species Library'!$A$6:$Z$150,COLUMN('Species Library'!D101),FALSE))</f>
        <v/>
      </c>
      <c r="E105" s="30" t="str">
        <f>IF(ISNA(VLOOKUP($A105,'Species Library'!$A$6:$Z$150,COLUMN('Species Library'!E101),FALSE)), "",VLOOKUP($A105,'Species Library'!$A$6:$Z$150,COLUMN('Species Library'!E101),FALSE))</f>
        <v/>
      </c>
      <c r="F105" s="30" t="str">
        <f>IF(ISNA(VLOOKUP($A105,'Species Library'!$A$6:$Z$150,COLUMN('Species Library'!F101),FALSE)), "",VLOOKUP($A105,'Species Library'!$A$6:$Z$150,COLUMN('Species Library'!F101),FALSE))</f>
        <v/>
      </c>
      <c r="G105" s="30" t="str">
        <f t="shared" si="4"/>
        <v/>
      </c>
      <c r="H105" s="30" t="str">
        <f>IF(ISNA(VLOOKUP($A105,'Species Library'!$A$6:$Z$150,COLUMN('Species Library'!G101),FALSE)), "",VLOOKUP($A105,'Species Library'!$A$6:$Z$150,COLUMN('Species Library'!G101),FALSE))</f>
        <v/>
      </c>
      <c r="I105" s="30" t="str">
        <f>IF(ISNA(VLOOKUP($A105,'Species Library'!$A$6:$Z$150,COLUMN('Species Library'!H101),FALSE)), "",VLOOKUP($A105,'Species Library'!$A$6:$Z$150,COLUMN('Species Library'!H101),FALSE))</f>
        <v/>
      </c>
      <c r="J105" s="30" t="str">
        <f>IF(ISNA(VLOOKUP($A105,'Species Library'!$A$6:$Z$150,COLUMN('Species Library'!I101),FALSE)), "",VLOOKUP($A105,'Species Library'!$A$6:$Z$150,COLUMN('Species Library'!I101),FALSE))</f>
        <v/>
      </c>
      <c r="K105" s="30" t="str">
        <f>IF(ISNA(VLOOKUP($A105,'Species Library'!$A$6:$Z$150,COLUMN('Species Library'!J101),FALSE)), "",VLOOKUP($A105,'Species Library'!$A$6:$Z$150,COLUMN('Species Library'!J101),FALSE))</f>
        <v/>
      </c>
      <c r="L105" s="30" t="str">
        <f>IF(ISNA(VLOOKUP($A105,'Species Library'!$A$6:$Z$150,COLUMN('Species Library'!K101),FALSE)), "",VLOOKUP($A105,'Species Library'!$A$6:$Z$150,COLUMN('Species Library'!K101),FALSE))</f>
        <v/>
      </c>
      <c r="M105" s="30" t="str">
        <f t="shared" si="5"/>
        <v/>
      </c>
      <c r="N105" s="30" t="str">
        <f>IF(ISNA(VLOOKUP($A105,'Species Library'!$A$6:$Z$150,COLUMN('Species Library'!L101),FALSE)), "",VLOOKUP($A105,'Species Library'!$A$6:$Z$150,COLUMN('Species Library'!L101),FALSE))</f>
        <v/>
      </c>
      <c r="O105" s="30" t="str">
        <f>IF(ISNA(VLOOKUP($A105,'Species Library'!$A$6:$Z$150,COLUMN('Species Library'!M101),FALSE)), "",VLOOKUP($A105,'Species Library'!$A$6:$Z$150,COLUMN('Species Library'!M101),FALSE))</f>
        <v/>
      </c>
      <c r="P105" s="30" t="str">
        <f>IF(ISNA(VLOOKUP($A105,'Species Library'!$A$6:$Z$150,COLUMN('Species Library'!N101),FALSE)), "",VLOOKUP($A105,'Species Library'!$A$6:$Z$150,COLUMN('Species Library'!N101),FALSE))</f>
        <v/>
      </c>
      <c r="Q105" s="30" t="str">
        <f t="shared" si="6"/>
        <v/>
      </c>
      <c r="R105" s="30" t="str">
        <f>IF(ISNA(VLOOKUP($A105,'Species Library'!$A$6:$Z$150,COLUMN('Species Library'!O101),FALSE)), "",VLOOKUP($A105,'Species Library'!$A$6:$Z$150,COLUMN('Species Library'!O101),FALSE))</f>
        <v/>
      </c>
      <c r="S105" s="30" t="str">
        <f>IF(ISNA(VLOOKUP($A105,'Species Library'!$A$6:$Z$150,COLUMN('Species Library'!P101),FALSE)), "",VLOOKUP($A105,'Species Library'!$A$6:$Z$150,COLUMN('Species Library'!P101),FALSE))</f>
        <v/>
      </c>
      <c r="T105" s="30" t="str">
        <f>IF(ISNA(VLOOKUP($A105,'Species Library'!$A$6:$Z$150,COLUMN('Species Library'!Q101),FALSE)), "",VLOOKUP($A105,'Species Library'!$A$6:$Z$150,COLUMN('Species Library'!Q101),FALSE))</f>
        <v/>
      </c>
      <c r="U105" s="30" t="str">
        <f>IF(ISNA(VLOOKUP($A105,'Species Library'!$A$6:$Z$150,COLUMN('Species Library'!R101),FALSE)), "",VLOOKUP($A105,'Species Library'!$A$6:$Z$150,COLUMN('Species Library'!R101),FALSE))</f>
        <v/>
      </c>
      <c r="V105" s="30" t="str">
        <f>IF(ISNA(VLOOKUP($A105,'Species Library'!$A$6:$Z$150,COLUMN('Species Library'!S101),FALSE)), "",VLOOKUP($A105,'Species Library'!$A$6:$Z$150,COLUMN('Species Library'!S101),FALSE))</f>
        <v/>
      </c>
      <c r="W105" s="30" t="str">
        <f>IF(ISNA(VLOOKUP($A105,'Species Library'!$A$6:$Z$150,COLUMN('Species Library'!T101),FALSE)), "",VLOOKUP($A105,'Species Library'!$A$6:$Z$150,COLUMN('Species Library'!T101),FALSE))</f>
        <v/>
      </c>
      <c r="X105" s="30" t="str">
        <f t="shared" si="7"/>
        <v/>
      </c>
      <c r="Y105" s="30" t="str">
        <f>IF(ISNA(VLOOKUP($A105,'Species Library'!$A$6:$Z$150,COLUMN('Species Library'!U101),FALSE)), "",VLOOKUP($A105,'Species Library'!$A$6:$Z$150,COLUMN('Species Library'!U101),FALSE))</f>
        <v/>
      </c>
      <c r="Z105" s="30" t="str">
        <f>IF(ISNA(VLOOKUP($A105,'Species Library'!$A$6:$Z$150,COLUMN('Species Library'!V101),FALSE)), "",VLOOKUP($A105,'Species Library'!$A$6:$Z$150,COLUMN('Species Library'!V101),FALSE))</f>
        <v/>
      </c>
      <c r="AA105" s="30" t="str">
        <f>IF(ISNA(VLOOKUP($A105,'Species Library'!$A$6:$Z$150,COLUMN('Species Library'!W101),FALSE)), "",VLOOKUP($A105,'Species Library'!$A$6:$Z$150,COLUMN('Species Library'!W101),FALSE))</f>
        <v/>
      </c>
      <c r="AB105" s="30" t="str">
        <f>IF(ISNA(VLOOKUP($A105,'Species Library'!$A$6:$Z$150,COLUMN('Species Library'!X101),FALSE)), "",VLOOKUP($A105,'Species Library'!$A$6:$Z$150,COLUMN('Species Library'!X101),FALSE))</f>
        <v/>
      </c>
      <c r="AC105" s="30" t="str">
        <f>IF(ISNA(VLOOKUP($A105,'Species Library'!$A$6:$Z$150,COLUMN('Species Library'!Y101),FALSE)), "",VLOOKUP($A105,'Species Library'!$A$6:$Z$150,COLUMN('Species Library'!Y101),FALSE))</f>
        <v/>
      </c>
      <c r="AD105" s="30" t="str">
        <f>IF(ISNA(VLOOKUP($A105,'Species Library'!$A$6:$Z$150,COLUMN('Species Library'!Z101),FALSE)), "",VLOOKUP($A105,'Species Library'!$A$6:$Z$150,COLUMN('Species Library'!Z101),FALSE))</f>
        <v/>
      </c>
    </row>
    <row r="106" spans="1:30" x14ac:dyDescent="0.4">
      <c r="B106" s="30" t="str">
        <f>IF(ISNA(VLOOKUP($A106,'Species Library'!$A$6:$Z$150,COLUMN('Species Library'!B102),FALSE)), "",VLOOKUP($A106,'Species Library'!$A$6:$Z$150,COLUMN('Species Library'!B102),FALSE))</f>
        <v/>
      </c>
      <c r="C106" s="30" t="str">
        <f>IF(ISNA(VLOOKUP($A106,'Species Library'!$A$6:$Z$150,COLUMN('Species Library'!C102),FALSE)), "",VLOOKUP($A106,'Species Library'!$A$6:$Z$150,COLUMN('Species Library'!C102),FALSE))</f>
        <v/>
      </c>
      <c r="D106" s="30" t="str">
        <f>IF(ISNA(VLOOKUP($A106,'Species Library'!$A$6:$Z$150,COLUMN('Species Library'!D102),FALSE)), "",VLOOKUP($A106,'Species Library'!$A$6:$Z$150,COLUMN('Species Library'!D102),FALSE))</f>
        <v/>
      </c>
      <c r="E106" s="30" t="str">
        <f>IF(ISNA(VLOOKUP($A106,'Species Library'!$A$6:$Z$150,COLUMN('Species Library'!E102),FALSE)), "",VLOOKUP($A106,'Species Library'!$A$6:$Z$150,COLUMN('Species Library'!E102),FALSE))</f>
        <v/>
      </c>
      <c r="F106" s="30" t="str">
        <f>IF(ISNA(VLOOKUP($A106,'Species Library'!$A$6:$Z$150,COLUMN('Species Library'!F102),FALSE)), "",VLOOKUP($A106,'Species Library'!$A$6:$Z$150,COLUMN('Species Library'!F102),FALSE))</f>
        <v/>
      </c>
      <c r="G106" s="30" t="str">
        <f t="shared" si="4"/>
        <v/>
      </c>
      <c r="H106" s="30" t="str">
        <f>IF(ISNA(VLOOKUP($A106,'Species Library'!$A$6:$Z$150,COLUMN('Species Library'!G102),FALSE)), "",VLOOKUP($A106,'Species Library'!$A$6:$Z$150,COLUMN('Species Library'!G102),FALSE))</f>
        <v/>
      </c>
      <c r="I106" s="30" t="str">
        <f>IF(ISNA(VLOOKUP($A106,'Species Library'!$A$6:$Z$150,COLUMN('Species Library'!H102),FALSE)), "",VLOOKUP($A106,'Species Library'!$A$6:$Z$150,COLUMN('Species Library'!H102),FALSE))</f>
        <v/>
      </c>
      <c r="J106" s="30" t="str">
        <f>IF(ISNA(VLOOKUP($A106,'Species Library'!$A$6:$Z$150,COLUMN('Species Library'!I102),FALSE)), "",VLOOKUP($A106,'Species Library'!$A$6:$Z$150,COLUMN('Species Library'!I102),FALSE))</f>
        <v/>
      </c>
      <c r="K106" s="30" t="str">
        <f>IF(ISNA(VLOOKUP($A106,'Species Library'!$A$6:$Z$150,COLUMN('Species Library'!J102),FALSE)), "",VLOOKUP($A106,'Species Library'!$A$6:$Z$150,COLUMN('Species Library'!J102),FALSE))</f>
        <v/>
      </c>
      <c r="L106" s="30" t="str">
        <f>IF(ISNA(VLOOKUP($A106,'Species Library'!$A$6:$Z$150,COLUMN('Species Library'!K102),FALSE)), "",VLOOKUP($A106,'Species Library'!$A$6:$Z$150,COLUMN('Species Library'!K102),FALSE))</f>
        <v/>
      </c>
      <c r="M106" s="30" t="str">
        <f t="shared" si="5"/>
        <v/>
      </c>
      <c r="N106" s="30" t="str">
        <f>IF(ISNA(VLOOKUP($A106,'Species Library'!$A$6:$Z$150,COLUMN('Species Library'!L102),FALSE)), "",VLOOKUP($A106,'Species Library'!$A$6:$Z$150,COLUMN('Species Library'!L102),FALSE))</f>
        <v/>
      </c>
      <c r="O106" s="30" t="str">
        <f>IF(ISNA(VLOOKUP($A106,'Species Library'!$A$6:$Z$150,COLUMN('Species Library'!M102),FALSE)), "",VLOOKUP($A106,'Species Library'!$A$6:$Z$150,COLUMN('Species Library'!M102),FALSE))</f>
        <v/>
      </c>
      <c r="P106" s="30" t="str">
        <f>IF(ISNA(VLOOKUP($A106,'Species Library'!$A$6:$Z$150,COLUMN('Species Library'!N102),FALSE)), "",VLOOKUP($A106,'Species Library'!$A$6:$Z$150,COLUMN('Species Library'!N102),FALSE))</f>
        <v/>
      </c>
      <c r="Q106" s="30" t="str">
        <f t="shared" si="6"/>
        <v/>
      </c>
      <c r="R106" s="30" t="str">
        <f>IF(ISNA(VLOOKUP($A106,'Species Library'!$A$6:$Z$150,COLUMN('Species Library'!O102),FALSE)), "",VLOOKUP($A106,'Species Library'!$A$6:$Z$150,COLUMN('Species Library'!O102),FALSE))</f>
        <v/>
      </c>
      <c r="S106" s="30" t="str">
        <f>IF(ISNA(VLOOKUP($A106,'Species Library'!$A$6:$Z$150,COLUMN('Species Library'!P102),FALSE)), "",VLOOKUP($A106,'Species Library'!$A$6:$Z$150,COLUMN('Species Library'!P102),FALSE))</f>
        <v/>
      </c>
      <c r="T106" s="30" t="str">
        <f>IF(ISNA(VLOOKUP($A106,'Species Library'!$A$6:$Z$150,COLUMN('Species Library'!Q102),FALSE)), "",VLOOKUP($A106,'Species Library'!$A$6:$Z$150,COLUMN('Species Library'!Q102),FALSE))</f>
        <v/>
      </c>
      <c r="U106" s="30" t="str">
        <f>IF(ISNA(VLOOKUP($A106,'Species Library'!$A$6:$Z$150,COLUMN('Species Library'!R102),FALSE)), "",VLOOKUP($A106,'Species Library'!$A$6:$Z$150,COLUMN('Species Library'!R102),FALSE))</f>
        <v/>
      </c>
      <c r="V106" s="30" t="str">
        <f>IF(ISNA(VLOOKUP($A106,'Species Library'!$A$6:$Z$150,COLUMN('Species Library'!S102),FALSE)), "",VLOOKUP($A106,'Species Library'!$A$6:$Z$150,COLUMN('Species Library'!S102),FALSE))</f>
        <v/>
      </c>
      <c r="W106" s="30" t="str">
        <f>IF(ISNA(VLOOKUP($A106,'Species Library'!$A$6:$Z$150,COLUMN('Species Library'!T102),FALSE)), "",VLOOKUP($A106,'Species Library'!$A$6:$Z$150,COLUMN('Species Library'!T102),FALSE))</f>
        <v/>
      </c>
      <c r="X106" s="30" t="str">
        <f t="shared" si="7"/>
        <v/>
      </c>
      <c r="Y106" s="30" t="str">
        <f>IF(ISNA(VLOOKUP($A106,'Species Library'!$A$6:$Z$150,COLUMN('Species Library'!U102),FALSE)), "",VLOOKUP($A106,'Species Library'!$A$6:$Z$150,COLUMN('Species Library'!U102),FALSE))</f>
        <v/>
      </c>
      <c r="Z106" s="30" t="str">
        <f>IF(ISNA(VLOOKUP($A106,'Species Library'!$A$6:$Z$150,COLUMN('Species Library'!V102),FALSE)), "",VLOOKUP($A106,'Species Library'!$A$6:$Z$150,COLUMN('Species Library'!V102),FALSE))</f>
        <v/>
      </c>
      <c r="AA106" s="30" t="str">
        <f>IF(ISNA(VLOOKUP($A106,'Species Library'!$A$6:$Z$150,COLUMN('Species Library'!W102),FALSE)), "",VLOOKUP($A106,'Species Library'!$A$6:$Z$150,COLUMN('Species Library'!W102),FALSE))</f>
        <v/>
      </c>
      <c r="AB106" s="30" t="str">
        <f>IF(ISNA(VLOOKUP($A106,'Species Library'!$A$6:$Z$150,COLUMN('Species Library'!X102),FALSE)), "",VLOOKUP($A106,'Species Library'!$A$6:$Z$150,COLUMN('Species Library'!X102),FALSE))</f>
        <v/>
      </c>
      <c r="AC106" s="30" t="str">
        <f>IF(ISNA(VLOOKUP($A106,'Species Library'!$A$6:$Z$150,COLUMN('Species Library'!Y102),FALSE)), "",VLOOKUP($A106,'Species Library'!$A$6:$Z$150,COLUMN('Species Library'!Y102),FALSE))</f>
        <v/>
      </c>
      <c r="AD106" s="30" t="str">
        <f>IF(ISNA(VLOOKUP($A106,'Species Library'!$A$6:$Z$150,COLUMN('Species Library'!Z102),FALSE)), "",VLOOKUP($A106,'Species Library'!$A$6:$Z$150,COLUMN('Species Library'!Z102),FALSE))</f>
        <v/>
      </c>
    </row>
    <row r="107" spans="1:30" x14ac:dyDescent="0.4">
      <c r="B107" s="30" t="str">
        <f>IF(ISNA(VLOOKUP($A107,'Species Library'!$A$6:$Z$150,COLUMN('Species Library'!B103),FALSE)), "",VLOOKUP($A107,'Species Library'!$A$6:$Z$150,COLUMN('Species Library'!B103),FALSE))</f>
        <v/>
      </c>
      <c r="C107" s="30" t="str">
        <f>IF(ISNA(VLOOKUP($A107,'Species Library'!$A$6:$Z$150,COLUMN('Species Library'!C103),FALSE)), "",VLOOKUP($A107,'Species Library'!$A$6:$Z$150,COLUMN('Species Library'!C103),FALSE))</f>
        <v/>
      </c>
      <c r="D107" s="30" t="str">
        <f>IF(ISNA(VLOOKUP($A107,'Species Library'!$A$6:$Z$150,COLUMN('Species Library'!D103),FALSE)), "",VLOOKUP($A107,'Species Library'!$A$6:$Z$150,COLUMN('Species Library'!D103),FALSE))</f>
        <v/>
      </c>
      <c r="E107" s="30" t="str">
        <f>IF(ISNA(VLOOKUP($A107,'Species Library'!$A$6:$Z$150,COLUMN('Species Library'!E103),FALSE)), "",VLOOKUP($A107,'Species Library'!$A$6:$Z$150,COLUMN('Species Library'!E103),FALSE))</f>
        <v/>
      </c>
      <c r="F107" s="30" t="str">
        <f>IF(ISNA(VLOOKUP($A107,'Species Library'!$A$6:$Z$150,COLUMN('Species Library'!F103),FALSE)), "",VLOOKUP($A107,'Species Library'!$A$6:$Z$150,COLUMN('Species Library'!F103),FALSE))</f>
        <v/>
      </c>
      <c r="G107" s="30" t="str">
        <f t="shared" si="4"/>
        <v/>
      </c>
      <c r="H107" s="30" t="str">
        <f>IF(ISNA(VLOOKUP($A107,'Species Library'!$A$6:$Z$150,COLUMN('Species Library'!G103),FALSE)), "",VLOOKUP($A107,'Species Library'!$A$6:$Z$150,COLUMN('Species Library'!G103),FALSE))</f>
        <v/>
      </c>
      <c r="I107" s="30" t="str">
        <f>IF(ISNA(VLOOKUP($A107,'Species Library'!$A$6:$Z$150,COLUMN('Species Library'!H103),FALSE)), "",VLOOKUP($A107,'Species Library'!$A$6:$Z$150,COLUMN('Species Library'!H103),FALSE))</f>
        <v/>
      </c>
      <c r="J107" s="30" t="str">
        <f>IF(ISNA(VLOOKUP($A107,'Species Library'!$A$6:$Z$150,COLUMN('Species Library'!I103),FALSE)), "",VLOOKUP($A107,'Species Library'!$A$6:$Z$150,COLUMN('Species Library'!I103),FALSE))</f>
        <v/>
      </c>
      <c r="K107" s="30" t="str">
        <f>IF(ISNA(VLOOKUP($A107,'Species Library'!$A$6:$Z$150,COLUMN('Species Library'!J103),FALSE)), "",VLOOKUP($A107,'Species Library'!$A$6:$Z$150,COLUMN('Species Library'!J103),FALSE))</f>
        <v/>
      </c>
      <c r="L107" s="30" t="str">
        <f>IF(ISNA(VLOOKUP($A107,'Species Library'!$A$6:$Z$150,COLUMN('Species Library'!K103),FALSE)), "",VLOOKUP($A107,'Species Library'!$A$6:$Z$150,COLUMN('Species Library'!K103),FALSE))</f>
        <v/>
      </c>
      <c r="M107" s="30" t="str">
        <f t="shared" si="5"/>
        <v/>
      </c>
      <c r="N107" s="30" t="str">
        <f>IF(ISNA(VLOOKUP($A107,'Species Library'!$A$6:$Z$150,COLUMN('Species Library'!L103),FALSE)), "",VLOOKUP($A107,'Species Library'!$A$6:$Z$150,COLUMN('Species Library'!L103),FALSE))</f>
        <v/>
      </c>
      <c r="O107" s="30" t="str">
        <f>IF(ISNA(VLOOKUP($A107,'Species Library'!$A$6:$Z$150,COLUMN('Species Library'!M103),FALSE)), "",VLOOKUP($A107,'Species Library'!$A$6:$Z$150,COLUMN('Species Library'!M103),FALSE))</f>
        <v/>
      </c>
      <c r="P107" s="30" t="str">
        <f>IF(ISNA(VLOOKUP($A107,'Species Library'!$A$6:$Z$150,COLUMN('Species Library'!N103),FALSE)), "",VLOOKUP($A107,'Species Library'!$A$6:$Z$150,COLUMN('Species Library'!N103),FALSE))</f>
        <v/>
      </c>
      <c r="Q107" s="30" t="str">
        <f t="shared" si="6"/>
        <v/>
      </c>
      <c r="R107" s="30" t="str">
        <f>IF(ISNA(VLOOKUP($A107,'Species Library'!$A$6:$Z$150,COLUMN('Species Library'!O103),FALSE)), "",VLOOKUP($A107,'Species Library'!$A$6:$Z$150,COLUMN('Species Library'!O103),FALSE))</f>
        <v/>
      </c>
      <c r="S107" s="30" t="str">
        <f>IF(ISNA(VLOOKUP($A107,'Species Library'!$A$6:$Z$150,COLUMN('Species Library'!P103),FALSE)), "",VLOOKUP($A107,'Species Library'!$A$6:$Z$150,COLUMN('Species Library'!P103),FALSE))</f>
        <v/>
      </c>
      <c r="T107" s="30" t="str">
        <f>IF(ISNA(VLOOKUP($A107,'Species Library'!$A$6:$Z$150,COLUMN('Species Library'!Q103),FALSE)), "",VLOOKUP($A107,'Species Library'!$A$6:$Z$150,COLUMN('Species Library'!Q103),FALSE))</f>
        <v/>
      </c>
      <c r="U107" s="30" t="str">
        <f>IF(ISNA(VLOOKUP($A107,'Species Library'!$A$6:$Z$150,COLUMN('Species Library'!R103),FALSE)), "",VLOOKUP($A107,'Species Library'!$A$6:$Z$150,COLUMN('Species Library'!R103),FALSE))</f>
        <v/>
      </c>
      <c r="V107" s="30" t="str">
        <f>IF(ISNA(VLOOKUP($A107,'Species Library'!$A$6:$Z$150,COLUMN('Species Library'!S103),FALSE)), "",VLOOKUP($A107,'Species Library'!$A$6:$Z$150,COLUMN('Species Library'!S103),FALSE))</f>
        <v/>
      </c>
      <c r="W107" s="30" t="str">
        <f>IF(ISNA(VLOOKUP($A107,'Species Library'!$A$6:$Z$150,COLUMN('Species Library'!T103),FALSE)), "",VLOOKUP($A107,'Species Library'!$A$6:$Z$150,COLUMN('Species Library'!T103),FALSE))</f>
        <v/>
      </c>
      <c r="X107" s="30" t="str">
        <f t="shared" si="7"/>
        <v/>
      </c>
      <c r="Y107" s="30" t="str">
        <f>IF(ISNA(VLOOKUP($A107,'Species Library'!$A$6:$Z$150,COLUMN('Species Library'!U103),FALSE)), "",VLOOKUP($A107,'Species Library'!$A$6:$Z$150,COLUMN('Species Library'!U103),FALSE))</f>
        <v/>
      </c>
      <c r="Z107" s="30" t="str">
        <f>IF(ISNA(VLOOKUP($A107,'Species Library'!$A$6:$Z$150,COLUMN('Species Library'!V103),FALSE)), "",VLOOKUP($A107,'Species Library'!$A$6:$Z$150,COLUMN('Species Library'!V103),FALSE))</f>
        <v/>
      </c>
      <c r="AA107" s="30" t="str">
        <f>IF(ISNA(VLOOKUP($A107,'Species Library'!$A$6:$Z$150,COLUMN('Species Library'!W103),FALSE)), "",VLOOKUP($A107,'Species Library'!$A$6:$Z$150,COLUMN('Species Library'!W103),FALSE))</f>
        <v/>
      </c>
      <c r="AB107" s="30" t="str">
        <f>IF(ISNA(VLOOKUP($A107,'Species Library'!$A$6:$Z$150,COLUMN('Species Library'!X103),FALSE)), "",VLOOKUP($A107,'Species Library'!$A$6:$Z$150,COLUMN('Species Library'!X103),FALSE))</f>
        <v/>
      </c>
      <c r="AC107" s="30" t="str">
        <f>IF(ISNA(VLOOKUP($A107,'Species Library'!$A$6:$Z$150,COLUMN('Species Library'!Y103),FALSE)), "",VLOOKUP($A107,'Species Library'!$A$6:$Z$150,COLUMN('Species Library'!Y103),FALSE))</f>
        <v/>
      </c>
      <c r="AD107" s="30" t="str">
        <f>IF(ISNA(VLOOKUP($A107,'Species Library'!$A$6:$Z$150,COLUMN('Species Library'!Z103),FALSE)), "",VLOOKUP($A107,'Species Library'!$A$6:$Z$150,COLUMN('Species Library'!Z103),FALSE))</f>
        <v/>
      </c>
    </row>
    <row r="108" spans="1:30" x14ac:dyDescent="0.4">
      <c r="B108" s="30" t="str">
        <f>IF(ISNA(VLOOKUP($A108,'Species Library'!$A$6:$Z$150,COLUMN('Species Library'!B104),FALSE)), "",VLOOKUP($A108,'Species Library'!$A$6:$Z$150,COLUMN('Species Library'!B104),FALSE))</f>
        <v/>
      </c>
      <c r="C108" s="30" t="str">
        <f>IF(ISNA(VLOOKUP($A108,'Species Library'!$A$6:$Z$150,COLUMN('Species Library'!C104),FALSE)), "",VLOOKUP($A108,'Species Library'!$A$6:$Z$150,COLUMN('Species Library'!C104),FALSE))</f>
        <v/>
      </c>
      <c r="D108" s="30" t="str">
        <f>IF(ISNA(VLOOKUP($A108,'Species Library'!$A$6:$Z$150,COLUMN('Species Library'!D104),FALSE)), "",VLOOKUP($A108,'Species Library'!$A$6:$Z$150,COLUMN('Species Library'!D104),FALSE))</f>
        <v/>
      </c>
      <c r="E108" s="30" t="str">
        <f>IF(ISNA(VLOOKUP($A108,'Species Library'!$A$6:$Z$150,COLUMN('Species Library'!E104),FALSE)), "",VLOOKUP($A108,'Species Library'!$A$6:$Z$150,COLUMN('Species Library'!E104),FALSE))</f>
        <v/>
      </c>
      <c r="F108" s="30" t="str">
        <f>IF(ISNA(VLOOKUP($A108,'Species Library'!$A$6:$Z$150,COLUMN('Species Library'!F104),FALSE)), "",VLOOKUP($A108,'Species Library'!$A$6:$Z$150,COLUMN('Species Library'!F104),FALSE))</f>
        <v/>
      </c>
      <c r="G108" s="30" t="str">
        <f t="shared" si="4"/>
        <v/>
      </c>
      <c r="H108" s="30" t="str">
        <f>IF(ISNA(VLOOKUP($A108,'Species Library'!$A$6:$Z$150,COLUMN('Species Library'!G104),FALSE)), "",VLOOKUP($A108,'Species Library'!$A$6:$Z$150,COLUMN('Species Library'!G104),FALSE))</f>
        <v/>
      </c>
      <c r="I108" s="30" t="str">
        <f>IF(ISNA(VLOOKUP($A108,'Species Library'!$A$6:$Z$150,COLUMN('Species Library'!H104),FALSE)), "",VLOOKUP($A108,'Species Library'!$A$6:$Z$150,COLUMN('Species Library'!H104),FALSE))</f>
        <v/>
      </c>
      <c r="J108" s="30" t="str">
        <f>IF(ISNA(VLOOKUP($A108,'Species Library'!$A$6:$Z$150,COLUMN('Species Library'!I104),FALSE)), "",VLOOKUP($A108,'Species Library'!$A$6:$Z$150,COLUMN('Species Library'!I104),FALSE))</f>
        <v/>
      </c>
      <c r="K108" s="30" t="str">
        <f>IF(ISNA(VLOOKUP($A108,'Species Library'!$A$6:$Z$150,COLUMN('Species Library'!J104),FALSE)), "",VLOOKUP($A108,'Species Library'!$A$6:$Z$150,COLUMN('Species Library'!J104),FALSE))</f>
        <v/>
      </c>
      <c r="L108" s="30" t="str">
        <f>IF(ISNA(VLOOKUP($A108,'Species Library'!$A$6:$Z$150,COLUMN('Species Library'!K104),FALSE)), "",VLOOKUP($A108,'Species Library'!$A$6:$Z$150,COLUMN('Species Library'!K104),FALSE))</f>
        <v/>
      </c>
      <c r="M108" s="30" t="str">
        <f t="shared" si="5"/>
        <v/>
      </c>
      <c r="N108" s="30" t="str">
        <f>IF(ISNA(VLOOKUP($A108,'Species Library'!$A$6:$Z$150,COLUMN('Species Library'!L104),FALSE)), "",VLOOKUP($A108,'Species Library'!$A$6:$Z$150,COLUMN('Species Library'!L104),FALSE))</f>
        <v/>
      </c>
      <c r="O108" s="30" t="str">
        <f>IF(ISNA(VLOOKUP($A108,'Species Library'!$A$6:$Z$150,COLUMN('Species Library'!M104),FALSE)), "",VLOOKUP($A108,'Species Library'!$A$6:$Z$150,COLUMN('Species Library'!M104),FALSE))</f>
        <v/>
      </c>
      <c r="P108" s="30" t="str">
        <f>IF(ISNA(VLOOKUP($A108,'Species Library'!$A$6:$Z$150,COLUMN('Species Library'!N104),FALSE)), "",VLOOKUP($A108,'Species Library'!$A$6:$Z$150,COLUMN('Species Library'!N104),FALSE))</f>
        <v/>
      </c>
      <c r="Q108" s="30" t="str">
        <f t="shared" si="6"/>
        <v/>
      </c>
      <c r="R108" s="30" t="str">
        <f>IF(ISNA(VLOOKUP($A108,'Species Library'!$A$6:$Z$150,COLUMN('Species Library'!O104),FALSE)), "",VLOOKUP($A108,'Species Library'!$A$6:$Z$150,COLUMN('Species Library'!O104),FALSE))</f>
        <v/>
      </c>
      <c r="S108" s="30" t="str">
        <f>IF(ISNA(VLOOKUP($A108,'Species Library'!$A$6:$Z$150,COLUMN('Species Library'!P104),FALSE)), "",VLOOKUP($A108,'Species Library'!$A$6:$Z$150,COLUMN('Species Library'!P104),FALSE))</f>
        <v/>
      </c>
      <c r="T108" s="30" t="str">
        <f>IF(ISNA(VLOOKUP($A108,'Species Library'!$A$6:$Z$150,COLUMN('Species Library'!Q104),FALSE)), "",VLOOKUP($A108,'Species Library'!$A$6:$Z$150,COLUMN('Species Library'!Q104),FALSE))</f>
        <v/>
      </c>
      <c r="U108" s="30" t="str">
        <f>IF(ISNA(VLOOKUP($A108,'Species Library'!$A$6:$Z$150,COLUMN('Species Library'!R104),FALSE)), "",VLOOKUP($A108,'Species Library'!$A$6:$Z$150,COLUMN('Species Library'!R104),FALSE))</f>
        <v/>
      </c>
      <c r="V108" s="30" t="str">
        <f>IF(ISNA(VLOOKUP($A108,'Species Library'!$A$6:$Z$150,COLUMN('Species Library'!S104),FALSE)), "",VLOOKUP($A108,'Species Library'!$A$6:$Z$150,COLUMN('Species Library'!S104),FALSE))</f>
        <v/>
      </c>
      <c r="W108" s="30" t="str">
        <f>IF(ISNA(VLOOKUP($A108,'Species Library'!$A$6:$Z$150,COLUMN('Species Library'!T104),FALSE)), "",VLOOKUP($A108,'Species Library'!$A$6:$Z$150,COLUMN('Species Library'!T104),FALSE))</f>
        <v/>
      </c>
      <c r="X108" s="30" t="str">
        <f t="shared" si="7"/>
        <v/>
      </c>
      <c r="Y108" s="30" t="str">
        <f>IF(ISNA(VLOOKUP($A108,'Species Library'!$A$6:$Z$150,COLUMN('Species Library'!U104),FALSE)), "",VLOOKUP($A108,'Species Library'!$A$6:$Z$150,COLUMN('Species Library'!U104),FALSE))</f>
        <v/>
      </c>
      <c r="Z108" s="30" t="str">
        <f>IF(ISNA(VLOOKUP($A108,'Species Library'!$A$6:$Z$150,COLUMN('Species Library'!V104),FALSE)), "",VLOOKUP($A108,'Species Library'!$A$6:$Z$150,COLUMN('Species Library'!V104),FALSE))</f>
        <v/>
      </c>
      <c r="AA108" s="30" t="str">
        <f>IF(ISNA(VLOOKUP($A108,'Species Library'!$A$6:$Z$150,COLUMN('Species Library'!W104),FALSE)), "",VLOOKUP($A108,'Species Library'!$A$6:$Z$150,COLUMN('Species Library'!W104),FALSE))</f>
        <v/>
      </c>
      <c r="AB108" s="30" t="str">
        <f>IF(ISNA(VLOOKUP($A108,'Species Library'!$A$6:$Z$150,COLUMN('Species Library'!X104),FALSE)), "",VLOOKUP($A108,'Species Library'!$A$6:$Z$150,COLUMN('Species Library'!X104),FALSE))</f>
        <v/>
      </c>
      <c r="AC108" s="30" t="str">
        <f>IF(ISNA(VLOOKUP($A108,'Species Library'!$A$6:$Z$150,COLUMN('Species Library'!Y104),FALSE)), "",VLOOKUP($A108,'Species Library'!$A$6:$Z$150,COLUMN('Species Library'!Y104),FALSE))</f>
        <v/>
      </c>
      <c r="AD108" s="30" t="str">
        <f>IF(ISNA(VLOOKUP($A108,'Species Library'!$A$6:$Z$150,COLUMN('Species Library'!Z104),FALSE)), "",VLOOKUP($A108,'Species Library'!$A$6:$Z$150,COLUMN('Species Library'!Z104),FALSE))</f>
        <v/>
      </c>
    </row>
    <row r="109" spans="1:30" x14ac:dyDescent="0.4">
      <c r="B109" s="30" t="str">
        <f>IF(ISNA(VLOOKUP($A109,'Species Library'!$A$6:$Z$150,COLUMN('Species Library'!B105),FALSE)), "",VLOOKUP($A109,'Species Library'!$A$6:$Z$150,COLUMN('Species Library'!B105),FALSE))</f>
        <v/>
      </c>
      <c r="C109" s="30" t="str">
        <f>IF(ISNA(VLOOKUP($A109,'Species Library'!$A$6:$Z$150,COLUMN('Species Library'!C105),FALSE)), "",VLOOKUP($A109,'Species Library'!$A$6:$Z$150,COLUMN('Species Library'!C105),FALSE))</f>
        <v/>
      </c>
      <c r="D109" s="30" t="str">
        <f>IF(ISNA(VLOOKUP($A109,'Species Library'!$A$6:$Z$150,COLUMN('Species Library'!D105),FALSE)), "",VLOOKUP($A109,'Species Library'!$A$6:$Z$150,COLUMN('Species Library'!D105),FALSE))</f>
        <v/>
      </c>
      <c r="E109" s="30" t="str">
        <f>IF(ISNA(VLOOKUP($A109,'Species Library'!$A$6:$Z$150,COLUMN('Species Library'!E105),FALSE)), "",VLOOKUP($A109,'Species Library'!$A$6:$Z$150,COLUMN('Species Library'!E105),FALSE))</f>
        <v/>
      </c>
      <c r="F109" s="30" t="str">
        <f>IF(ISNA(VLOOKUP($A109,'Species Library'!$A$6:$Z$150,COLUMN('Species Library'!F105),FALSE)), "",VLOOKUP($A109,'Species Library'!$A$6:$Z$150,COLUMN('Species Library'!F105),FALSE))</f>
        <v/>
      </c>
      <c r="G109" s="30" t="str">
        <f t="shared" si="4"/>
        <v/>
      </c>
      <c r="H109" s="30" t="str">
        <f>IF(ISNA(VLOOKUP($A109,'Species Library'!$A$6:$Z$150,COLUMN('Species Library'!G105),FALSE)), "",VLOOKUP($A109,'Species Library'!$A$6:$Z$150,COLUMN('Species Library'!G105),FALSE))</f>
        <v/>
      </c>
      <c r="I109" s="30" t="str">
        <f>IF(ISNA(VLOOKUP($A109,'Species Library'!$A$6:$Z$150,COLUMN('Species Library'!H105),FALSE)), "",VLOOKUP($A109,'Species Library'!$A$6:$Z$150,COLUMN('Species Library'!H105),FALSE))</f>
        <v/>
      </c>
      <c r="J109" s="30" t="str">
        <f>IF(ISNA(VLOOKUP($A109,'Species Library'!$A$6:$Z$150,COLUMN('Species Library'!I105),FALSE)), "",VLOOKUP($A109,'Species Library'!$A$6:$Z$150,COLUMN('Species Library'!I105),FALSE))</f>
        <v/>
      </c>
      <c r="K109" s="30" t="str">
        <f>IF(ISNA(VLOOKUP($A109,'Species Library'!$A$6:$Z$150,COLUMN('Species Library'!J105),FALSE)), "",VLOOKUP($A109,'Species Library'!$A$6:$Z$150,COLUMN('Species Library'!J105),FALSE))</f>
        <v/>
      </c>
      <c r="L109" s="30" t="str">
        <f>IF(ISNA(VLOOKUP($A109,'Species Library'!$A$6:$Z$150,COLUMN('Species Library'!K105),FALSE)), "",VLOOKUP($A109,'Species Library'!$A$6:$Z$150,COLUMN('Species Library'!K105),FALSE))</f>
        <v/>
      </c>
      <c r="M109" s="30" t="str">
        <f t="shared" si="5"/>
        <v/>
      </c>
      <c r="N109" s="30" t="str">
        <f>IF(ISNA(VLOOKUP($A109,'Species Library'!$A$6:$Z$150,COLUMN('Species Library'!L105),FALSE)), "",VLOOKUP($A109,'Species Library'!$A$6:$Z$150,COLUMN('Species Library'!L105),FALSE))</f>
        <v/>
      </c>
      <c r="O109" s="30" t="str">
        <f>IF(ISNA(VLOOKUP($A109,'Species Library'!$A$6:$Z$150,COLUMN('Species Library'!M105),FALSE)), "",VLOOKUP($A109,'Species Library'!$A$6:$Z$150,COLUMN('Species Library'!M105),FALSE))</f>
        <v/>
      </c>
      <c r="P109" s="30" t="str">
        <f>IF(ISNA(VLOOKUP($A109,'Species Library'!$A$6:$Z$150,COLUMN('Species Library'!N105),FALSE)), "",VLOOKUP($A109,'Species Library'!$A$6:$Z$150,COLUMN('Species Library'!N105),FALSE))</f>
        <v/>
      </c>
      <c r="Q109" s="30" t="str">
        <f t="shared" si="6"/>
        <v/>
      </c>
      <c r="R109" s="30" t="str">
        <f>IF(ISNA(VLOOKUP($A109,'Species Library'!$A$6:$Z$150,COLUMN('Species Library'!O105),FALSE)), "",VLOOKUP($A109,'Species Library'!$A$6:$Z$150,COLUMN('Species Library'!O105),FALSE))</f>
        <v/>
      </c>
      <c r="S109" s="30" t="str">
        <f>IF(ISNA(VLOOKUP($A109,'Species Library'!$A$6:$Z$150,COLUMN('Species Library'!P105),FALSE)), "",VLOOKUP($A109,'Species Library'!$A$6:$Z$150,COLUMN('Species Library'!P105),FALSE))</f>
        <v/>
      </c>
      <c r="T109" s="30" t="str">
        <f>IF(ISNA(VLOOKUP($A109,'Species Library'!$A$6:$Z$150,COLUMN('Species Library'!Q105),FALSE)), "",VLOOKUP($A109,'Species Library'!$A$6:$Z$150,COLUMN('Species Library'!Q105),FALSE))</f>
        <v/>
      </c>
      <c r="U109" s="30" t="str">
        <f>IF(ISNA(VLOOKUP($A109,'Species Library'!$A$6:$Z$150,COLUMN('Species Library'!R105),FALSE)), "",VLOOKUP($A109,'Species Library'!$A$6:$Z$150,COLUMN('Species Library'!R105),FALSE))</f>
        <v/>
      </c>
      <c r="V109" s="30" t="str">
        <f>IF(ISNA(VLOOKUP($A109,'Species Library'!$A$6:$Z$150,COLUMN('Species Library'!S105),FALSE)), "",VLOOKUP($A109,'Species Library'!$A$6:$Z$150,COLUMN('Species Library'!S105),FALSE))</f>
        <v/>
      </c>
      <c r="W109" s="30" t="str">
        <f>IF(ISNA(VLOOKUP($A109,'Species Library'!$A$6:$Z$150,COLUMN('Species Library'!T105),FALSE)), "",VLOOKUP($A109,'Species Library'!$A$6:$Z$150,COLUMN('Species Library'!T105),FALSE))</f>
        <v/>
      </c>
      <c r="X109" s="30" t="str">
        <f t="shared" si="7"/>
        <v/>
      </c>
      <c r="Y109" s="30" t="str">
        <f>IF(ISNA(VLOOKUP($A109,'Species Library'!$A$6:$Z$150,COLUMN('Species Library'!U105),FALSE)), "",VLOOKUP($A109,'Species Library'!$A$6:$Z$150,COLUMN('Species Library'!U105),FALSE))</f>
        <v/>
      </c>
      <c r="Z109" s="30" t="str">
        <f>IF(ISNA(VLOOKUP($A109,'Species Library'!$A$6:$Z$150,COLUMN('Species Library'!V105),FALSE)), "",VLOOKUP($A109,'Species Library'!$A$6:$Z$150,COLUMN('Species Library'!V105),FALSE))</f>
        <v/>
      </c>
      <c r="AA109" s="30" t="str">
        <f>IF(ISNA(VLOOKUP($A109,'Species Library'!$A$6:$Z$150,COLUMN('Species Library'!W105),FALSE)), "",VLOOKUP($A109,'Species Library'!$A$6:$Z$150,COLUMN('Species Library'!W105),FALSE))</f>
        <v/>
      </c>
      <c r="AB109" s="30" t="str">
        <f>IF(ISNA(VLOOKUP($A109,'Species Library'!$A$6:$Z$150,COLUMN('Species Library'!X105),FALSE)), "",VLOOKUP($A109,'Species Library'!$A$6:$Z$150,COLUMN('Species Library'!X105),FALSE))</f>
        <v/>
      </c>
      <c r="AC109" s="30" t="str">
        <f>IF(ISNA(VLOOKUP($A109,'Species Library'!$A$6:$Z$150,COLUMN('Species Library'!Y105),FALSE)), "",VLOOKUP($A109,'Species Library'!$A$6:$Z$150,COLUMN('Species Library'!Y105),FALSE))</f>
        <v/>
      </c>
      <c r="AD109" s="30" t="str">
        <f>IF(ISNA(VLOOKUP($A109,'Species Library'!$A$6:$Z$150,COLUMN('Species Library'!Z105),FALSE)), "",VLOOKUP($A109,'Species Library'!$A$6:$Z$150,COLUMN('Species Library'!Z105),FALSE))</f>
        <v/>
      </c>
    </row>
    <row r="110" spans="1:30" x14ac:dyDescent="0.4">
      <c r="B110" s="30" t="str">
        <f>IF(ISNA(VLOOKUP($A110,'Species Library'!$A$6:$Z$150,COLUMN('Species Library'!B106),FALSE)), "",VLOOKUP($A110,'Species Library'!$A$6:$Z$150,COLUMN('Species Library'!B106),FALSE))</f>
        <v/>
      </c>
      <c r="C110" s="30" t="str">
        <f>IF(ISNA(VLOOKUP($A110,'Species Library'!$A$6:$Z$150,COLUMN('Species Library'!C106),FALSE)), "",VLOOKUP($A110,'Species Library'!$A$6:$Z$150,COLUMN('Species Library'!C106),FALSE))</f>
        <v/>
      </c>
      <c r="D110" s="30" t="str">
        <f>IF(ISNA(VLOOKUP($A110,'Species Library'!$A$6:$Z$150,COLUMN('Species Library'!D106),FALSE)), "",VLOOKUP($A110,'Species Library'!$A$6:$Z$150,COLUMN('Species Library'!D106),FALSE))</f>
        <v/>
      </c>
      <c r="E110" s="30" t="str">
        <f>IF(ISNA(VLOOKUP($A110,'Species Library'!$A$6:$Z$150,COLUMN('Species Library'!E106),FALSE)), "",VLOOKUP($A110,'Species Library'!$A$6:$Z$150,COLUMN('Species Library'!E106),FALSE))</f>
        <v/>
      </c>
      <c r="F110" s="30" t="str">
        <f>IF(ISNA(VLOOKUP($A110,'Species Library'!$A$6:$Z$150,COLUMN('Species Library'!F106),FALSE)), "",VLOOKUP($A110,'Species Library'!$A$6:$Z$150,COLUMN('Species Library'!F106),FALSE))</f>
        <v/>
      </c>
      <c r="G110" s="30" t="str">
        <f t="shared" si="4"/>
        <v/>
      </c>
      <c r="H110" s="30" t="str">
        <f>IF(ISNA(VLOOKUP($A110,'Species Library'!$A$6:$Z$150,COLUMN('Species Library'!G106),FALSE)), "",VLOOKUP($A110,'Species Library'!$A$6:$Z$150,COLUMN('Species Library'!G106),FALSE))</f>
        <v/>
      </c>
      <c r="I110" s="30" t="str">
        <f>IF(ISNA(VLOOKUP($A110,'Species Library'!$A$6:$Z$150,COLUMN('Species Library'!H106),FALSE)), "",VLOOKUP($A110,'Species Library'!$A$6:$Z$150,COLUMN('Species Library'!H106),FALSE))</f>
        <v/>
      </c>
      <c r="J110" s="30" t="str">
        <f>IF(ISNA(VLOOKUP($A110,'Species Library'!$A$6:$Z$150,COLUMN('Species Library'!I106),FALSE)), "",VLOOKUP($A110,'Species Library'!$A$6:$Z$150,COLUMN('Species Library'!I106),FALSE))</f>
        <v/>
      </c>
      <c r="K110" s="30" t="str">
        <f>IF(ISNA(VLOOKUP($A110,'Species Library'!$A$6:$Z$150,COLUMN('Species Library'!J106),FALSE)), "",VLOOKUP($A110,'Species Library'!$A$6:$Z$150,COLUMN('Species Library'!J106),FALSE))</f>
        <v/>
      </c>
      <c r="L110" s="30" t="str">
        <f>IF(ISNA(VLOOKUP($A110,'Species Library'!$A$6:$Z$150,COLUMN('Species Library'!K106),FALSE)), "",VLOOKUP($A110,'Species Library'!$A$6:$Z$150,COLUMN('Species Library'!K106),FALSE))</f>
        <v/>
      </c>
      <c r="M110" s="30" t="str">
        <f t="shared" si="5"/>
        <v/>
      </c>
      <c r="N110" s="30" t="str">
        <f>IF(ISNA(VLOOKUP($A110,'Species Library'!$A$6:$Z$150,COLUMN('Species Library'!L106),FALSE)), "",VLOOKUP($A110,'Species Library'!$A$6:$Z$150,COLUMN('Species Library'!L106),FALSE))</f>
        <v/>
      </c>
      <c r="O110" s="30" t="str">
        <f>IF(ISNA(VLOOKUP($A110,'Species Library'!$A$6:$Z$150,COLUMN('Species Library'!M106),FALSE)), "",VLOOKUP($A110,'Species Library'!$A$6:$Z$150,COLUMN('Species Library'!M106),FALSE))</f>
        <v/>
      </c>
      <c r="P110" s="30" t="str">
        <f>IF(ISNA(VLOOKUP($A110,'Species Library'!$A$6:$Z$150,COLUMN('Species Library'!N106),FALSE)), "",VLOOKUP($A110,'Species Library'!$A$6:$Z$150,COLUMN('Species Library'!N106),FALSE))</f>
        <v/>
      </c>
      <c r="Q110" s="30" t="str">
        <f t="shared" si="6"/>
        <v/>
      </c>
      <c r="R110" s="30" t="str">
        <f>IF(ISNA(VLOOKUP($A110,'Species Library'!$A$6:$Z$150,COLUMN('Species Library'!O106),FALSE)), "",VLOOKUP($A110,'Species Library'!$A$6:$Z$150,COLUMN('Species Library'!O106),FALSE))</f>
        <v/>
      </c>
      <c r="S110" s="30" t="str">
        <f>IF(ISNA(VLOOKUP($A110,'Species Library'!$A$6:$Z$150,COLUMN('Species Library'!P106),FALSE)), "",VLOOKUP($A110,'Species Library'!$A$6:$Z$150,COLUMN('Species Library'!P106),FALSE))</f>
        <v/>
      </c>
      <c r="T110" s="30" t="str">
        <f>IF(ISNA(VLOOKUP($A110,'Species Library'!$A$6:$Z$150,COLUMN('Species Library'!Q106),FALSE)), "",VLOOKUP($A110,'Species Library'!$A$6:$Z$150,COLUMN('Species Library'!Q106),FALSE))</f>
        <v/>
      </c>
      <c r="U110" s="30" t="str">
        <f>IF(ISNA(VLOOKUP($A110,'Species Library'!$A$6:$Z$150,COLUMN('Species Library'!R106),FALSE)), "",VLOOKUP($A110,'Species Library'!$A$6:$Z$150,COLUMN('Species Library'!R106),FALSE))</f>
        <v/>
      </c>
      <c r="V110" s="30" t="str">
        <f>IF(ISNA(VLOOKUP($A110,'Species Library'!$A$6:$Z$150,COLUMN('Species Library'!S106),FALSE)), "",VLOOKUP($A110,'Species Library'!$A$6:$Z$150,COLUMN('Species Library'!S106),FALSE))</f>
        <v/>
      </c>
      <c r="W110" s="30" t="str">
        <f>IF(ISNA(VLOOKUP($A110,'Species Library'!$A$6:$Z$150,COLUMN('Species Library'!T106),FALSE)), "",VLOOKUP($A110,'Species Library'!$A$6:$Z$150,COLUMN('Species Library'!T106),FALSE))</f>
        <v/>
      </c>
      <c r="X110" s="30" t="str">
        <f t="shared" si="7"/>
        <v/>
      </c>
      <c r="Y110" s="30" t="str">
        <f>IF(ISNA(VLOOKUP($A110,'Species Library'!$A$6:$Z$150,COLUMN('Species Library'!U106),FALSE)), "",VLOOKUP($A110,'Species Library'!$A$6:$Z$150,COLUMN('Species Library'!U106),FALSE))</f>
        <v/>
      </c>
      <c r="Z110" s="30" t="str">
        <f>IF(ISNA(VLOOKUP($A110,'Species Library'!$A$6:$Z$150,COLUMN('Species Library'!V106),FALSE)), "",VLOOKUP($A110,'Species Library'!$A$6:$Z$150,COLUMN('Species Library'!V106),FALSE))</f>
        <v/>
      </c>
      <c r="AA110" s="30" t="str">
        <f>IF(ISNA(VLOOKUP($A110,'Species Library'!$A$6:$Z$150,COLUMN('Species Library'!W106),FALSE)), "",VLOOKUP($A110,'Species Library'!$A$6:$Z$150,COLUMN('Species Library'!W106),FALSE))</f>
        <v/>
      </c>
      <c r="AB110" s="30" t="str">
        <f>IF(ISNA(VLOOKUP($A110,'Species Library'!$A$6:$Z$150,COLUMN('Species Library'!X106),FALSE)), "",VLOOKUP($A110,'Species Library'!$A$6:$Z$150,COLUMN('Species Library'!X106),FALSE))</f>
        <v/>
      </c>
      <c r="AC110" s="30" t="str">
        <f>IF(ISNA(VLOOKUP($A110,'Species Library'!$A$6:$Z$150,COLUMN('Species Library'!Y106),FALSE)), "",VLOOKUP($A110,'Species Library'!$A$6:$Z$150,COLUMN('Species Library'!Y106),FALSE))</f>
        <v/>
      </c>
      <c r="AD110" s="30" t="str">
        <f>IF(ISNA(VLOOKUP($A110,'Species Library'!$A$6:$Z$150,COLUMN('Species Library'!Z106),FALSE)), "",VLOOKUP($A110,'Species Library'!$A$6:$Z$150,COLUMN('Species Library'!Z106),FALSE))</f>
        <v/>
      </c>
    </row>
    <row r="111" spans="1:30" x14ac:dyDescent="0.4">
      <c r="B111" s="30" t="str">
        <f>IF(ISNA(VLOOKUP($A111,'Species Library'!$A$6:$Z$150,COLUMN('Species Library'!B107),FALSE)), "",VLOOKUP($A111,'Species Library'!$A$6:$Z$150,COLUMN('Species Library'!B107),FALSE))</f>
        <v/>
      </c>
      <c r="C111" s="30" t="str">
        <f>IF(ISNA(VLOOKUP($A111,'Species Library'!$A$6:$Z$150,COLUMN('Species Library'!C107),FALSE)), "",VLOOKUP($A111,'Species Library'!$A$6:$Z$150,COLUMN('Species Library'!C107),FALSE))</f>
        <v/>
      </c>
      <c r="D111" s="30" t="str">
        <f>IF(ISNA(VLOOKUP($A111,'Species Library'!$A$6:$Z$150,COLUMN('Species Library'!D107),FALSE)), "",VLOOKUP($A111,'Species Library'!$A$6:$Z$150,COLUMN('Species Library'!D107),FALSE))</f>
        <v/>
      </c>
      <c r="E111" s="30" t="str">
        <f>IF(ISNA(VLOOKUP($A111,'Species Library'!$A$6:$Z$150,COLUMN('Species Library'!E107),FALSE)), "",VLOOKUP($A111,'Species Library'!$A$6:$Z$150,COLUMN('Species Library'!E107),FALSE))</f>
        <v/>
      </c>
      <c r="F111" s="30" t="str">
        <f>IF(ISNA(VLOOKUP($A111,'Species Library'!$A$6:$Z$150,COLUMN('Species Library'!F107),FALSE)), "",VLOOKUP($A111,'Species Library'!$A$6:$Z$150,COLUMN('Species Library'!F107),FALSE))</f>
        <v/>
      </c>
      <c r="G111" s="30" t="str">
        <f t="shared" si="4"/>
        <v/>
      </c>
      <c r="H111" s="30" t="str">
        <f>IF(ISNA(VLOOKUP($A111,'Species Library'!$A$6:$Z$150,COLUMN('Species Library'!G107),FALSE)), "",VLOOKUP($A111,'Species Library'!$A$6:$Z$150,COLUMN('Species Library'!G107),FALSE))</f>
        <v/>
      </c>
      <c r="I111" s="30" t="str">
        <f>IF(ISNA(VLOOKUP($A111,'Species Library'!$A$6:$Z$150,COLUMN('Species Library'!H107),FALSE)), "",VLOOKUP($A111,'Species Library'!$A$6:$Z$150,COLUMN('Species Library'!H107),FALSE))</f>
        <v/>
      </c>
      <c r="J111" s="30" t="str">
        <f>IF(ISNA(VLOOKUP($A111,'Species Library'!$A$6:$Z$150,COLUMN('Species Library'!I107),FALSE)), "",VLOOKUP($A111,'Species Library'!$A$6:$Z$150,COLUMN('Species Library'!I107),FALSE))</f>
        <v/>
      </c>
      <c r="K111" s="30" t="str">
        <f>IF(ISNA(VLOOKUP($A111,'Species Library'!$A$6:$Z$150,COLUMN('Species Library'!J107),FALSE)), "",VLOOKUP($A111,'Species Library'!$A$6:$Z$150,COLUMN('Species Library'!J107),FALSE))</f>
        <v/>
      </c>
      <c r="L111" s="30" t="str">
        <f>IF(ISNA(VLOOKUP($A111,'Species Library'!$A$6:$Z$150,COLUMN('Species Library'!K107),FALSE)), "",VLOOKUP($A111,'Species Library'!$A$6:$Z$150,COLUMN('Species Library'!K107),FALSE))</f>
        <v/>
      </c>
      <c r="M111" s="30" t="str">
        <f t="shared" si="5"/>
        <v/>
      </c>
      <c r="N111" s="30" t="str">
        <f>IF(ISNA(VLOOKUP($A111,'Species Library'!$A$6:$Z$150,COLUMN('Species Library'!L107),FALSE)), "",VLOOKUP($A111,'Species Library'!$A$6:$Z$150,COLUMN('Species Library'!L107),FALSE))</f>
        <v/>
      </c>
      <c r="O111" s="30" t="str">
        <f>IF(ISNA(VLOOKUP($A111,'Species Library'!$A$6:$Z$150,COLUMN('Species Library'!M107),FALSE)), "",VLOOKUP($A111,'Species Library'!$A$6:$Z$150,COLUMN('Species Library'!M107),FALSE))</f>
        <v/>
      </c>
      <c r="P111" s="30" t="str">
        <f>IF(ISNA(VLOOKUP($A111,'Species Library'!$A$6:$Z$150,COLUMN('Species Library'!N107),FALSE)), "",VLOOKUP($A111,'Species Library'!$A$6:$Z$150,COLUMN('Species Library'!N107),FALSE))</f>
        <v/>
      </c>
      <c r="Q111" s="30" t="str">
        <f t="shared" si="6"/>
        <v/>
      </c>
      <c r="R111" s="30" t="str">
        <f>IF(ISNA(VLOOKUP($A111,'Species Library'!$A$6:$Z$150,COLUMN('Species Library'!O107),FALSE)), "",VLOOKUP($A111,'Species Library'!$A$6:$Z$150,COLUMN('Species Library'!O107),FALSE))</f>
        <v/>
      </c>
      <c r="S111" s="30" t="str">
        <f>IF(ISNA(VLOOKUP($A111,'Species Library'!$A$6:$Z$150,COLUMN('Species Library'!P107),FALSE)), "",VLOOKUP($A111,'Species Library'!$A$6:$Z$150,COLUMN('Species Library'!P107),FALSE))</f>
        <v/>
      </c>
      <c r="T111" s="30" t="str">
        <f>IF(ISNA(VLOOKUP($A111,'Species Library'!$A$6:$Z$150,COLUMN('Species Library'!Q107),FALSE)), "",VLOOKUP($A111,'Species Library'!$A$6:$Z$150,COLUMN('Species Library'!Q107),FALSE))</f>
        <v/>
      </c>
      <c r="U111" s="30" t="str">
        <f>IF(ISNA(VLOOKUP($A111,'Species Library'!$A$6:$Z$150,COLUMN('Species Library'!R107),FALSE)), "",VLOOKUP($A111,'Species Library'!$A$6:$Z$150,COLUMN('Species Library'!R107),FALSE))</f>
        <v/>
      </c>
      <c r="V111" s="30" t="str">
        <f>IF(ISNA(VLOOKUP($A111,'Species Library'!$A$6:$Z$150,COLUMN('Species Library'!S107),FALSE)), "",VLOOKUP($A111,'Species Library'!$A$6:$Z$150,COLUMN('Species Library'!S107),FALSE))</f>
        <v/>
      </c>
      <c r="W111" s="30" t="str">
        <f>IF(ISNA(VLOOKUP($A111,'Species Library'!$A$6:$Z$150,COLUMN('Species Library'!T107),FALSE)), "",VLOOKUP($A111,'Species Library'!$A$6:$Z$150,COLUMN('Species Library'!T107),FALSE))</f>
        <v/>
      </c>
      <c r="X111" s="30" t="str">
        <f t="shared" si="7"/>
        <v/>
      </c>
      <c r="Y111" s="30" t="str">
        <f>IF(ISNA(VLOOKUP($A111,'Species Library'!$A$6:$Z$150,COLUMN('Species Library'!U107),FALSE)), "",VLOOKUP($A111,'Species Library'!$A$6:$Z$150,COLUMN('Species Library'!U107),FALSE))</f>
        <v/>
      </c>
      <c r="Z111" s="30" t="str">
        <f>IF(ISNA(VLOOKUP($A111,'Species Library'!$A$6:$Z$150,COLUMN('Species Library'!V107),FALSE)), "",VLOOKUP($A111,'Species Library'!$A$6:$Z$150,COLUMN('Species Library'!V107),FALSE))</f>
        <v/>
      </c>
      <c r="AA111" s="30" t="str">
        <f>IF(ISNA(VLOOKUP($A111,'Species Library'!$A$6:$Z$150,COLUMN('Species Library'!W107),FALSE)), "",VLOOKUP($A111,'Species Library'!$A$6:$Z$150,COLUMN('Species Library'!W107),FALSE))</f>
        <v/>
      </c>
      <c r="AB111" s="30" t="str">
        <f>IF(ISNA(VLOOKUP($A111,'Species Library'!$A$6:$Z$150,COLUMN('Species Library'!X107),FALSE)), "",VLOOKUP($A111,'Species Library'!$A$6:$Z$150,COLUMN('Species Library'!X107),FALSE))</f>
        <v/>
      </c>
      <c r="AC111" s="30" t="str">
        <f>IF(ISNA(VLOOKUP($A111,'Species Library'!$A$6:$Z$150,COLUMN('Species Library'!Y107),FALSE)), "",VLOOKUP($A111,'Species Library'!$A$6:$Z$150,COLUMN('Species Library'!Y107),FALSE))</f>
        <v/>
      </c>
      <c r="AD111" s="30" t="str">
        <f>IF(ISNA(VLOOKUP($A111,'Species Library'!$A$6:$Z$150,COLUMN('Species Library'!Z107),FALSE)), "",VLOOKUP($A111,'Species Library'!$A$6:$Z$150,COLUMN('Species Library'!Z107),FALSE))</f>
        <v/>
      </c>
    </row>
    <row r="112" spans="1:30" s="34" customFormat="1" ht="19.5" customHeight="1" x14ac:dyDescent="0.4">
      <c r="A112" s="111" t="s">
        <v>44</v>
      </c>
      <c r="B112" s="111"/>
      <c r="C112" s="111"/>
      <c r="D112" s="111"/>
      <c r="E112" s="111"/>
      <c r="F112" s="33" t="str">
        <f>IF(ISNA(VLOOKUP($A112,'Species Library'!$A$6:$Z$150,COLUMN('Species Library'!F108),FALSE)), "",VLOOKUP($A112,'Species Library'!$A$6:$Z$150,COLUMN('Species Library'!F108),FALSE))</f>
        <v/>
      </c>
      <c r="G112" s="33" t="str">
        <f t="shared" si="4"/>
        <v>End of possible number of species</v>
      </c>
      <c r="H112" s="33" t="str">
        <f>IF(ISNA(VLOOKUP($A112,'Species Library'!$A$6:$Z$150,COLUMN('Species Library'!G108),FALSE)), "",VLOOKUP($A112,'Species Library'!$A$6:$Z$150,COLUMN('Species Library'!G108),FALSE))</f>
        <v/>
      </c>
      <c r="I112" s="33" t="str">
        <f>IF(ISNA(VLOOKUP($A112,'Species Library'!$A$6:$Z$150,COLUMN('Species Library'!H108),FALSE)), "",VLOOKUP($A112,'Species Library'!$A$6:$Z$150,COLUMN('Species Library'!H108),FALSE))</f>
        <v/>
      </c>
      <c r="J112" s="33" t="str">
        <f>IF(ISNA(VLOOKUP($A112,'Species Library'!$A$6:$Z$150,COLUMN('Species Library'!I108),FALSE)), "",VLOOKUP($A112,'Species Library'!$A$6:$Z$150,COLUMN('Species Library'!I108),FALSE))</f>
        <v/>
      </c>
      <c r="K112" s="33" t="str">
        <f>IF(ISNA(VLOOKUP($A112,'Species Library'!$A$6:$Z$150,COLUMN('Species Library'!J108),FALSE)), "",VLOOKUP($A112,'Species Library'!$A$6:$Z$150,COLUMN('Species Library'!J108),FALSE))</f>
        <v/>
      </c>
      <c r="L112" s="33" t="str">
        <f>IF(ISNA(VLOOKUP($A112,'Species Library'!$A$6:$Z$150,COLUMN('Species Library'!K108),FALSE)), "",VLOOKUP($A112,'Species Library'!$A$6:$Z$150,COLUMN('Species Library'!K108),FALSE))</f>
        <v/>
      </c>
      <c r="M112" s="33" t="str">
        <f t="shared" si="5"/>
        <v>End of possible number of species</v>
      </c>
      <c r="N112" s="33" t="str">
        <f>IF(ISNA(VLOOKUP($A112,'Species Library'!$A$6:$Z$150,COLUMN('Species Library'!L108),FALSE)), "",VLOOKUP($A112,'Species Library'!$A$6:$Z$150,COLUMN('Species Library'!L108),FALSE))</f>
        <v/>
      </c>
      <c r="O112" s="33" t="str">
        <f>IF(ISNA(VLOOKUP($A112,'Species Library'!$A$6:$Z$150,COLUMN('Species Library'!M108),FALSE)), "",VLOOKUP($A112,'Species Library'!$A$6:$Z$150,COLUMN('Species Library'!M108),FALSE))</f>
        <v/>
      </c>
      <c r="P112" s="33" t="str">
        <f>IF(ISNA(VLOOKUP($A112,'Species Library'!$A$6:$Z$150,COLUMN('Species Library'!N108),FALSE)), "",VLOOKUP($A112,'Species Library'!$A$6:$Z$150,COLUMN('Species Library'!N108),FALSE))</f>
        <v/>
      </c>
      <c r="Q112" s="33" t="str">
        <f t="shared" si="6"/>
        <v>End of possible number of species</v>
      </c>
      <c r="R112" s="33" t="str">
        <f>IF(ISNA(VLOOKUP($A112,'Species Library'!$A$6:$Z$150,COLUMN('Species Library'!O108),FALSE)), "",VLOOKUP($A112,'Species Library'!$A$6:$Z$150,COLUMN('Species Library'!O108),FALSE))</f>
        <v/>
      </c>
      <c r="S112" s="33" t="str">
        <f>IF(ISNA(VLOOKUP($A112,'Species Library'!$A$6:$Z$150,COLUMN('Species Library'!P108),FALSE)), "",VLOOKUP($A112,'Species Library'!$A$6:$Z$150,COLUMN('Species Library'!P108),FALSE))</f>
        <v/>
      </c>
      <c r="T112" s="33" t="str">
        <f>IF(ISNA(VLOOKUP($A112,'Species Library'!$A$6:$Z$150,COLUMN('Species Library'!Q108),FALSE)), "",VLOOKUP($A112,'Species Library'!$A$6:$Z$150,COLUMN('Species Library'!Q108),FALSE))</f>
        <v/>
      </c>
      <c r="U112" s="33" t="str">
        <f>IF(ISNA(VLOOKUP($A112,'Species Library'!$A$6:$Z$150,COLUMN('Species Library'!R108),FALSE)), "",VLOOKUP($A112,'Species Library'!$A$6:$Z$150,COLUMN('Species Library'!R108),FALSE))</f>
        <v/>
      </c>
      <c r="V112" s="33" t="str">
        <f>IF(ISNA(VLOOKUP($A112,'Species Library'!$A$6:$Z$150,COLUMN('Species Library'!S108),FALSE)), "",VLOOKUP($A112,'Species Library'!$A$6:$Z$150,COLUMN('Species Library'!S108),FALSE))</f>
        <v/>
      </c>
      <c r="W112" s="33" t="str">
        <f>IF(ISNA(VLOOKUP($A112,'Species Library'!$A$6:$Z$150,COLUMN('Species Library'!T108),FALSE)), "",VLOOKUP($A112,'Species Library'!$A$6:$Z$150,COLUMN('Species Library'!T108),FALSE))</f>
        <v/>
      </c>
      <c r="X112" s="33" t="str">
        <f t="shared" si="7"/>
        <v>End of possible number of species</v>
      </c>
      <c r="Y112" s="33" t="str">
        <f>IF(ISNA(VLOOKUP($A112,'Species Library'!$A$6:$Z$150,COLUMN('Species Library'!U108),FALSE)), "",VLOOKUP($A112,'Species Library'!$A$6:$Z$150,COLUMN('Species Library'!U108),FALSE))</f>
        <v/>
      </c>
      <c r="Z112" s="33" t="str">
        <f>IF(ISNA(VLOOKUP($A112,'Species Library'!$A$6:$Z$150,COLUMN('Species Library'!V108),FALSE)), "",VLOOKUP($A112,'Species Library'!$A$6:$Z$150,COLUMN('Species Library'!V108),FALSE))</f>
        <v/>
      </c>
      <c r="AA112" s="33" t="str">
        <f>IF(ISNA(VLOOKUP($A112,'Species Library'!$A$6:$Z$150,COLUMN('Species Library'!W108),FALSE)), "",VLOOKUP($A112,'Species Library'!$A$6:$Z$150,COLUMN('Species Library'!W108),FALSE))</f>
        <v/>
      </c>
      <c r="AB112" s="33" t="str">
        <f>IF(ISNA(VLOOKUP($A112,'Species Library'!$A$6:$Z$150,COLUMN('Species Library'!X108),FALSE)), "",VLOOKUP($A112,'Species Library'!$A$6:$Z$150,COLUMN('Species Library'!X108),FALSE))</f>
        <v/>
      </c>
      <c r="AC112" s="33" t="str">
        <f>IF(ISNA(VLOOKUP($A112,'Species Library'!$A$6:$Z$150,COLUMN('Species Library'!Y108),FALSE)), "",VLOOKUP($A112,'Species Library'!$A$6:$Z$150,COLUMN('Species Library'!Y108),FALSE))</f>
        <v/>
      </c>
      <c r="AD112" s="33" t="str">
        <f>IF(ISNA(VLOOKUP($A112,'Species Library'!$A$6:$Z$150,COLUMN('Species Library'!Z108),FALSE)), "",VLOOKUP($A112,'Species Library'!$A$6:$Z$150,COLUMN('Species Library'!Z108),FALSE))</f>
        <v/>
      </c>
    </row>
    <row r="113" spans="2:30" x14ac:dyDescent="0.4">
      <c r="B113" s="30" t="str">
        <f>IF(ISNA(VLOOKUP($A113,'Species Library'!$A$6:$Z$150,COLUMN('Species Library'!B109),FALSE)), "",VLOOKUP($A113,'Species Library'!$A$6:$Z$150,COLUMN('Species Library'!B109),FALSE))</f>
        <v/>
      </c>
      <c r="C113" s="30" t="str">
        <f>IF(ISNA(VLOOKUP($A113,'Species Library'!$A$6:$Z$150,COLUMN('Species Library'!C109),FALSE)), "",VLOOKUP($A113,'Species Library'!$A$6:$Z$150,COLUMN('Species Library'!C109),FALSE))</f>
        <v/>
      </c>
      <c r="D113" s="30" t="str">
        <f>IF(ISNA(VLOOKUP($A113,'Species Library'!$A$6:$Z$150,COLUMN('Species Library'!D109),FALSE)), "",VLOOKUP($A113,'Species Library'!$A$6:$Z$150,COLUMN('Species Library'!D109),FALSE))</f>
        <v/>
      </c>
      <c r="E113" s="30" t="str">
        <f>IF(ISNA(VLOOKUP($A113,'Species Library'!$A$6:$Z$150,COLUMN('Species Library'!E109),FALSE)), "",VLOOKUP($A113,'Species Library'!$A$6:$Z$150,COLUMN('Species Library'!E109),FALSE))</f>
        <v/>
      </c>
      <c r="F113" s="30" t="str">
        <f>IF(ISNA(VLOOKUP($A113,'Species Library'!$A$6:$Z$150,COLUMN('Species Library'!F109),FALSE)), "",VLOOKUP($A113,'Species Library'!$A$6:$Z$150,COLUMN('Species Library'!F109),FALSE))</f>
        <v/>
      </c>
      <c r="G113" s="30" t="str">
        <f t="shared" si="4"/>
        <v/>
      </c>
      <c r="H113" s="30" t="str">
        <f>IF(ISNA(VLOOKUP($A113,'Species Library'!$A$6:$Z$150,COLUMN('Species Library'!G109),FALSE)), "",VLOOKUP($A113,'Species Library'!$A$6:$Z$150,COLUMN('Species Library'!G109),FALSE))</f>
        <v/>
      </c>
      <c r="I113" s="30" t="str">
        <f>IF(ISNA(VLOOKUP($A113,'Species Library'!$A$6:$Z$150,COLUMN('Species Library'!H109),FALSE)), "",VLOOKUP($A113,'Species Library'!$A$6:$Z$150,COLUMN('Species Library'!H109),FALSE))</f>
        <v/>
      </c>
      <c r="J113" s="30" t="str">
        <f>IF(ISNA(VLOOKUP($A113,'Species Library'!$A$6:$Z$150,COLUMN('Species Library'!I109),FALSE)), "",VLOOKUP($A113,'Species Library'!$A$6:$Z$150,COLUMN('Species Library'!I109),FALSE))</f>
        <v/>
      </c>
      <c r="K113" s="30" t="str">
        <f>IF(ISNA(VLOOKUP($A113,'Species Library'!$A$6:$Z$150,COLUMN('Species Library'!J109),FALSE)), "",VLOOKUP($A113,'Species Library'!$A$6:$Z$150,COLUMN('Species Library'!J109),FALSE))</f>
        <v/>
      </c>
      <c r="L113" s="30" t="str">
        <f>IF(ISNA(VLOOKUP($A113,'Species Library'!$A$6:$Z$150,COLUMN('Species Library'!K109),FALSE)), "",VLOOKUP($A113,'Species Library'!$A$6:$Z$150,COLUMN('Species Library'!K109),FALSE))</f>
        <v/>
      </c>
      <c r="M113" s="30" t="str">
        <f t="shared" si="5"/>
        <v/>
      </c>
      <c r="N113" s="30" t="str">
        <f>IF(ISNA(VLOOKUP($A113,'Species Library'!$A$6:$Z$150,COLUMN('Species Library'!L109),FALSE)), "",VLOOKUP($A113,'Species Library'!$A$6:$Z$150,COLUMN('Species Library'!L109),FALSE))</f>
        <v/>
      </c>
      <c r="O113" s="30" t="str">
        <f>IF(ISNA(VLOOKUP($A113,'Species Library'!$A$6:$Z$150,COLUMN('Species Library'!M109),FALSE)), "",VLOOKUP($A113,'Species Library'!$A$6:$Z$150,COLUMN('Species Library'!M109),FALSE))</f>
        <v/>
      </c>
      <c r="P113" s="30" t="str">
        <f>IF(ISNA(VLOOKUP($A113,'Species Library'!$A$6:$Z$150,COLUMN('Species Library'!N109),FALSE)), "",VLOOKUP($A113,'Species Library'!$A$6:$Z$150,COLUMN('Species Library'!N109),FALSE))</f>
        <v/>
      </c>
      <c r="Q113" s="30" t="str">
        <f t="shared" si="6"/>
        <v/>
      </c>
      <c r="R113" s="30" t="str">
        <f>IF(ISNA(VLOOKUP($A113,'Species Library'!$A$6:$Z$150,COLUMN('Species Library'!O109),FALSE)), "",VLOOKUP($A113,'Species Library'!$A$6:$Z$150,COLUMN('Species Library'!O109),FALSE))</f>
        <v/>
      </c>
      <c r="S113" s="30" t="str">
        <f>IF(ISNA(VLOOKUP($A113,'Species Library'!$A$6:$Z$150,COLUMN('Species Library'!P109),FALSE)), "",VLOOKUP($A113,'Species Library'!$A$6:$Z$150,COLUMN('Species Library'!P109),FALSE))</f>
        <v/>
      </c>
      <c r="T113" s="30" t="str">
        <f>IF(ISNA(VLOOKUP($A113,'Species Library'!$A$6:$Z$150,COLUMN('Species Library'!Q109),FALSE)), "",VLOOKUP($A113,'Species Library'!$A$6:$Z$150,COLUMN('Species Library'!Q109),FALSE))</f>
        <v/>
      </c>
      <c r="U113" s="30" t="str">
        <f>IF(ISNA(VLOOKUP($A113,'Species Library'!$A$6:$Z$150,COLUMN('Species Library'!R109),FALSE)), "",VLOOKUP($A113,'Species Library'!$A$6:$Z$150,COLUMN('Species Library'!R109),FALSE))</f>
        <v/>
      </c>
      <c r="V113" s="30" t="str">
        <f>IF(ISNA(VLOOKUP($A113,'Species Library'!$A$6:$Z$150,COLUMN('Species Library'!S109),FALSE)), "",VLOOKUP($A113,'Species Library'!$A$6:$Z$150,COLUMN('Species Library'!S109),FALSE))</f>
        <v/>
      </c>
      <c r="W113" s="30" t="str">
        <f>IF(ISNA(VLOOKUP($A113,'Species Library'!$A$6:$Z$150,COLUMN('Species Library'!T109),FALSE)), "",VLOOKUP($A113,'Species Library'!$A$6:$Z$150,COLUMN('Species Library'!T109),FALSE))</f>
        <v/>
      </c>
      <c r="X113" s="30" t="str">
        <f t="shared" si="7"/>
        <v/>
      </c>
      <c r="Y113" s="30" t="str">
        <f>IF(ISNA(VLOOKUP($A113,'Species Library'!$A$6:$Z$150,COLUMN('Species Library'!U109),FALSE)), "",VLOOKUP($A113,'Species Library'!$A$6:$Z$150,COLUMN('Species Library'!U109),FALSE))</f>
        <v/>
      </c>
      <c r="Z113" s="30" t="str">
        <f>IF(ISNA(VLOOKUP($A113,'Species Library'!$A$6:$Z$150,COLUMN('Species Library'!V109),FALSE)), "",VLOOKUP($A113,'Species Library'!$A$6:$Z$150,COLUMN('Species Library'!V109),FALSE))</f>
        <v/>
      </c>
      <c r="AA113" s="30" t="str">
        <f>IF(ISNA(VLOOKUP($A113,'Species Library'!$A$6:$Z$150,COLUMN('Species Library'!W109),FALSE)), "",VLOOKUP($A113,'Species Library'!$A$6:$Z$150,COLUMN('Species Library'!W109),FALSE))</f>
        <v/>
      </c>
      <c r="AB113" s="30" t="str">
        <f>IF(ISNA(VLOOKUP($A113,'Species Library'!$A$6:$Z$150,COLUMN('Species Library'!X109),FALSE)), "",VLOOKUP($A113,'Species Library'!$A$6:$Z$150,COLUMN('Species Library'!X109),FALSE))</f>
        <v/>
      </c>
      <c r="AC113" s="30" t="str">
        <f>IF(ISNA(VLOOKUP($A113,'Species Library'!$A$6:$Z$150,COLUMN('Species Library'!Y109),FALSE)), "",VLOOKUP($A113,'Species Library'!$A$6:$Z$150,COLUMN('Species Library'!Y109),FALSE))</f>
        <v/>
      </c>
      <c r="AD113" s="30" t="str">
        <f>IF(ISNA(VLOOKUP($A113,'Species Library'!$A$6:$Z$150,COLUMN('Species Library'!Z109),FALSE)), "",VLOOKUP($A113,'Species Library'!$A$6:$Z$150,COLUMN('Species Library'!Z109),FALSE))</f>
        <v/>
      </c>
    </row>
    <row r="114" spans="2:30" x14ac:dyDescent="0.4">
      <c r="B114" s="30" t="str">
        <f>IF(ISNA(VLOOKUP($A114,'Species Library'!$A$6:$Z$150,COLUMN('Species Library'!B110),FALSE)), "",VLOOKUP($A114,'Species Library'!$A$6:$Z$150,COLUMN('Species Library'!B110),FALSE))</f>
        <v/>
      </c>
      <c r="C114" s="30" t="str">
        <f>IF(ISNA(VLOOKUP($A114,'Species Library'!$A$6:$Z$150,COLUMN('Species Library'!C110),FALSE)), "",VLOOKUP($A114,'Species Library'!$A$6:$Z$150,COLUMN('Species Library'!C110),FALSE))</f>
        <v/>
      </c>
      <c r="D114" s="30" t="str">
        <f>IF(ISNA(VLOOKUP($A114,'Species Library'!$A$6:$Z$150,COLUMN('Species Library'!D110),FALSE)), "",VLOOKUP($A114,'Species Library'!$A$6:$Z$150,COLUMN('Species Library'!D110),FALSE))</f>
        <v/>
      </c>
      <c r="E114" s="30" t="str">
        <f>IF(ISNA(VLOOKUP($A114,'Species Library'!$A$6:$Z$150,COLUMN('Species Library'!E110),FALSE)), "",VLOOKUP($A114,'Species Library'!$A$6:$Z$150,COLUMN('Species Library'!E110),FALSE))</f>
        <v/>
      </c>
      <c r="F114" s="30" t="str">
        <f>IF(ISNA(VLOOKUP($A114,'Species Library'!$A$6:$Z$150,COLUMN('Species Library'!F110),FALSE)), "",VLOOKUP($A114,'Species Library'!$A$6:$Z$150,COLUMN('Species Library'!F110),FALSE))</f>
        <v/>
      </c>
      <c r="G114" s="30" t="str">
        <f t="shared" si="4"/>
        <v/>
      </c>
      <c r="H114" s="30" t="str">
        <f>IF(ISNA(VLOOKUP($A114,'Species Library'!$A$6:$Z$150,COLUMN('Species Library'!G110),FALSE)), "",VLOOKUP($A114,'Species Library'!$A$6:$Z$150,COLUMN('Species Library'!G110),FALSE))</f>
        <v/>
      </c>
      <c r="I114" s="30" t="str">
        <f>IF(ISNA(VLOOKUP($A114,'Species Library'!$A$6:$Z$150,COLUMN('Species Library'!H110),FALSE)), "",VLOOKUP($A114,'Species Library'!$A$6:$Z$150,COLUMN('Species Library'!H110),FALSE))</f>
        <v/>
      </c>
      <c r="J114" s="30" t="str">
        <f>IF(ISNA(VLOOKUP($A114,'Species Library'!$A$6:$Z$150,COLUMN('Species Library'!I110),FALSE)), "",VLOOKUP($A114,'Species Library'!$A$6:$Z$150,COLUMN('Species Library'!I110),FALSE))</f>
        <v/>
      </c>
      <c r="K114" s="30" t="str">
        <f>IF(ISNA(VLOOKUP($A114,'Species Library'!$A$6:$Z$150,COLUMN('Species Library'!J110),FALSE)), "",VLOOKUP($A114,'Species Library'!$A$6:$Z$150,COLUMN('Species Library'!J110),FALSE))</f>
        <v/>
      </c>
      <c r="L114" s="30" t="str">
        <f>IF(ISNA(VLOOKUP($A114,'Species Library'!$A$6:$Z$150,COLUMN('Species Library'!K110),FALSE)), "",VLOOKUP($A114,'Species Library'!$A$6:$Z$150,COLUMN('Species Library'!K110),FALSE))</f>
        <v/>
      </c>
      <c r="M114" s="30" t="str">
        <f t="shared" si="5"/>
        <v/>
      </c>
      <c r="N114" s="30" t="str">
        <f>IF(ISNA(VLOOKUP($A114,'Species Library'!$A$6:$Z$150,COLUMN('Species Library'!L110),FALSE)), "",VLOOKUP($A114,'Species Library'!$A$6:$Z$150,COLUMN('Species Library'!L110),FALSE))</f>
        <v/>
      </c>
      <c r="O114" s="30" t="str">
        <f>IF(ISNA(VLOOKUP($A114,'Species Library'!$A$6:$Z$150,COLUMN('Species Library'!M110),FALSE)), "",VLOOKUP($A114,'Species Library'!$A$6:$Z$150,COLUMN('Species Library'!M110),FALSE))</f>
        <v/>
      </c>
      <c r="P114" s="30" t="str">
        <f>IF(ISNA(VLOOKUP($A114,'Species Library'!$A$6:$Z$150,COLUMN('Species Library'!N110),FALSE)), "",VLOOKUP($A114,'Species Library'!$A$6:$Z$150,COLUMN('Species Library'!N110),FALSE))</f>
        <v/>
      </c>
      <c r="Q114" s="30" t="str">
        <f t="shared" si="6"/>
        <v/>
      </c>
      <c r="R114" s="30" t="str">
        <f>IF(ISNA(VLOOKUP($A114,'Species Library'!$A$6:$Z$150,COLUMN('Species Library'!O110),FALSE)), "",VLOOKUP($A114,'Species Library'!$A$6:$Z$150,COLUMN('Species Library'!O110),FALSE))</f>
        <v/>
      </c>
      <c r="S114" s="30" t="str">
        <f>IF(ISNA(VLOOKUP($A114,'Species Library'!$A$6:$Z$150,COLUMN('Species Library'!P110),FALSE)), "",VLOOKUP($A114,'Species Library'!$A$6:$Z$150,COLUMN('Species Library'!P110),FALSE))</f>
        <v/>
      </c>
      <c r="T114" s="30" t="str">
        <f>IF(ISNA(VLOOKUP($A114,'Species Library'!$A$6:$Z$150,COLUMN('Species Library'!Q110),FALSE)), "",VLOOKUP($A114,'Species Library'!$A$6:$Z$150,COLUMN('Species Library'!Q110),FALSE))</f>
        <v/>
      </c>
      <c r="U114" s="30" t="str">
        <f>IF(ISNA(VLOOKUP($A114,'Species Library'!$A$6:$Z$150,COLUMN('Species Library'!R110),FALSE)), "",VLOOKUP($A114,'Species Library'!$A$6:$Z$150,COLUMN('Species Library'!R110),FALSE))</f>
        <v/>
      </c>
      <c r="V114" s="30" t="str">
        <f>IF(ISNA(VLOOKUP($A114,'Species Library'!$A$6:$Z$150,COLUMN('Species Library'!S110),FALSE)), "",VLOOKUP($A114,'Species Library'!$A$6:$Z$150,COLUMN('Species Library'!S110),FALSE))</f>
        <v/>
      </c>
      <c r="W114" s="30" t="str">
        <f>IF(ISNA(VLOOKUP($A114,'Species Library'!$A$6:$Z$150,COLUMN('Species Library'!T110),FALSE)), "",VLOOKUP($A114,'Species Library'!$A$6:$Z$150,COLUMN('Species Library'!T110),FALSE))</f>
        <v/>
      </c>
      <c r="X114" s="30" t="str">
        <f t="shared" si="7"/>
        <v/>
      </c>
      <c r="Y114" s="30" t="str">
        <f>IF(ISNA(VLOOKUP($A114,'Species Library'!$A$6:$Z$150,COLUMN('Species Library'!U110),FALSE)), "",VLOOKUP($A114,'Species Library'!$A$6:$Z$150,COLUMN('Species Library'!U110),FALSE))</f>
        <v/>
      </c>
      <c r="Z114" s="30" t="str">
        <f>IF(ISNA(VLOOKUP($A114,'Species Library'!$A$6:$Z$150,COLUMN('Species Library'!V110),FALSE)), "",VLOOKUP($A114,'Species Library'!$A$6:$Z$150,COLUMN('Species Library'!V110),FALSE))</f>
        <v/>
      </c>
      <c r="AA114" s="30" t="str">
        <f>IF(ISNA(VLOOKUP($A114,'Species Library'!$A$6:$Z$150,COLUMN('Species Library'!W110),FALSE)), "",VLOOKUP($A114,'Species Library'!$A$6:$Z$150,COLUMN('Species Library'!W110),FALSE))</f>
        <v/>
      </c>
      <c r="AB114" s="30" t="str">
        <f>IF(ISNA(VLOOKUP($A114,'Species Library'!$A$6:$Z$150,COLUMN('Species Library'!X110),FALSE)), "",VLOOKUP($A114,'Species Library'!$A$6:$Z$150,COLUMN('Species Library'!X110),FALSE))</f>
        <v/>
      </c>
      <c r="AC114" s="30" t="str">
        <f>IF(ISNA(VLOOKUP($A114,'Species Library'!$A$6:$Z$150,COLUMN('Species Library'!Y110),FALSE)), "",VLOOKUP($A114,'Species Library'!$A$6:$Z$150,COLUMN('Species Library'!Y110),FALSE))</f>
        <v/>
      </c>
      <c r="AD114" s="30" t="str">
        <f>IF(ISNA(VLOOKUP($A114,'Species Library'!$A$6:$Z$150,COLUMN('Species Library'!Z110),FALSE)), "",VLOOKUP($A114,'Species Library'!$A$6:$Z$150,COLUMN('Species Library'!Z110),FALSE))</f>
        <v/>
      </c>
    </row>
    <row r="115" spans="2:30" x14ac:dyDescent="0.4">
      <c r="B115" s="30" t="str">
        <f>IF(ISNA(VLOOKUP($A115,'Species Library'!$A$6:$Z$150,COLUMN('Species Library'!B111),FALSE)), "",VLOOKUP($A115,'Species Library'!$A$6:$Z$150,COLUMN('Species Library'!B111),FALSE))</f>
        <v/>
      </c>
      <c r="C115" s="30" t="str">
        <f>IF(ISNA(VLOOKUP($A115,'Species Library'!$A$6:$Z$150,COLUMN('Species Library'!C111),FALSE)), "",VLOOKUP($A115,'Species Library'!$A$6:$Z$150,COLUMN('Species Library'!C111),FALSE))</f>
        <v/>
      </c>
      <c r="D115" s="30" t="str">
        <f>IF(ISNA(VLOOKUP($A115,'Species Library'!$A$6:$Z$150,COLUMN('Species Library'!D111),FALSE)), "",VLOOKUP($A115,'Species Library'!$A$6:$Z$150,COLUMN('Species Library'!D111),FALSE))</f>
        <v/>
      </c>
      <c r="E115" s="30" t="str">
        <f>IF(ISNA(VLOOKUP($A115,'Species Library'!$A$6:$Z$150,COLUMN('Species Library'!E111),FALSE)), "",VLOOKUP($A115,'Species Library'!$A$6:$Z$150,COLUMN('Species Library'!E111),FALSE))</f>
        <v/>
      </c>
      <c r="F115" s="30" t="str">
        <f>IF(ISNA(VLOOKUP($A115,'Species Library'!$A$6:$Z$150,COLUMN('Species Library'!F111),FALSE)), "",VLOOKUP($A115,'Species Library'!$A$6:$Z$150,COLUMN('Species Library'!F111),FALSE))</f>
        <v/>
      </c>
      <c r="G115" s="30" t="str">
        <f t="shared" si="4"/>
        <v/>
      </c>
      <c r="H115" s="30" t="str">
        <f>IF(ISNA(VLOOKUP($A115,'Species Library'!$A$6:$Z$150,COLUMN('Species Library'!G111),FALSE)), "",VLOOKUP($A115,'Species Library'!$A$6:$Z$150,COLUMN('Species Library'!G111),FALSE))</f>
        <v/>
      </c>
      <c r="I115" s="30" t="str">
        <f>IF(ISNA(VLOOKUP($A115,'Species Library'!$A$6:$Z$150,COLUMN('Species Library'!H111),FALSE)), "",VLOOKUP($A115,'Species Library'!$A$6:$Z$150,COLUMN('Species Library'!H111),FALSE))</f>
        <v/>
      </c>
      <c r="J115" s="30" t="str">
        <f>IF(ISNA(VLOOKUP($A115,'Species Library'!$A$6:$Z$150,COLUMN('Species Library'!I111),FALSE)), "",VLOOKUP($A115,'Species Library'!$A$6:$Z$150,COLUMN('Species Library'!I111),FALSE))</f>
        <v/>
      </c>
      <c r="K115" s="30" t="str">
        <f>IF(ISNA(VLOOKUP($A115,'Species Library'!$A$6:$Z$150,COLUMN('Species Library'!J111),FALSE)), "",VLOOKUP($A115,'Species Library'!$A$6:$Z$150,COLUMN('Species Library'!J111),FALSE))</f>
        <v/>
      </c>
      <c r="L115" s="30" t="str">
        <f>IF(ISNA(VLOOKUP($A115,'Species Library'!$A$6:$Z$150,COLUMN('Species Library'!K111),FALSE)), "",VLOOKUP($A115,'Species Library'!$A$6:$Z$150,COLUMN('Species Library'!K111),FALSE))</f>
        <v/>
      </c>
      <c r="M115" s="30" t="str">
        <f t="shared" si="5"/>
        <v/>
      </c>
      <c r="N115" s="30" t="str">
        <f>IF(ISNA(VLOOKUP($A115,'Species Library'!$A$6:$Z$150,COLUMN('Species Library'!L111),FALSE)), "",VLOOKUP($A115,'Species Library'!$A$6:$Z$150,COLUMN('Species Library'!L111),FALSE))</f>
        <v/>
      </c>
      <c r="O115" s="30" t="str">
        <f>IF(ISNA(VLOOKUP($A115,'Species Library'!$A$6:$Z$150,COLUMN('Species Library'!M111),FALSE)), "",VLOOKUP($A115,'Species Library'!$A$6:$Z$150,COLUMN('Species Library'!M111),FALSE))</f>
        <v/>
      </c>
      <c r="P115" s="30" t="str">
        <f>IF(ISNA(VLOOKUP($A115,'Species Library'!$A$6:$Z$150,COLUMN('Species Library'!N111),FALSE)), "",VLOOKUP($A115,'Species Library'!$A$6:$Z$150,COLUMN('Species Library'!N111),FALSE))</f>
        <v/>
      </c>
      <c r="Q115" s="30" t="str">
        <f t="shared" si="6"/>
        <v/>
      </c>
      <c r="R115" s="30" t="str">
        <f>IF(ISNA(VLOOKUP($A115,'Species Library'!$A$6:$Z$150,COLUMN('Species Library'!O111),FALSE)), "",VLOOKUP($A115,'Species Library'!$A$6:$Z$150,COLUMN('Species Library'!O111),FALSE))</f>
        <v/>
      </c>
      <c r="S115" s="30" t="str">
        <f>IF(ISNA(VLOOKUP($A115,'Species Library'!$A$6:$Z$150,COLUMN('Species Library'!P111),FALSE)), "",VLOOKUP($A115,'Species Library'!$A$6:$Z$150,COLUMN('Species Library'!P111),FALSE))</f>
        <v/>
      </c>
      <c r="T115" s="30" t="str">
        <f>IF(ISNA(VLOOKUP($A115,'Species Library'!$A$6:$Z$150,COLUMN('Species Library'!Q111),FALSE)), "",VLOOKUP($A115,'Species Library'!$A$6:$Z$150,COLUMN('Species Library'!Q111),FALSE))</f>
        <v/>
      </c>
      <c r="U115" s="30" t="str">
        <f>IF(ISNA(VLOOKUP($A115,'Species Library'!$A$6:$Z$150,COLUMN('Species Library'!R111),FALSE)), "",VLOOKUP($A115,'Species Library'!$A$6:$Z$150,COLUMN('Species Library'!R111),FALSE))</f>
        <v/>
      </c>
      <c r="V115" s="30" t="str">
        <f>IF(ISNA(VLOOKUP($A115,'Species Library'!$A$6:$Z$150,COLUMN('Species Library'!S111),FALSE)), "",VLOOKUP($A115,'Species Library'!$A$6:$Z$150,COLUMN('Species Library'!S111),FALSE))</f>
        <v/>
      </c>
      <c r="W115" s="30" t="str">
        <f>IF(ISNA(VLOOKUP($A115,'Species Library'!$A$6:$Z$150,COLUMN('Species Library'!T111),FALSE)), "",VLOOKUP($A115,'Species Library'!$A$6:$Z$150,COLUMN('Species Library'!T111),FALSE))</f>
        <v/>
      </c>
      <c r="X115" s="30" t="str">
        <f t="shared" si="7"/>
        <v/>
      </c>
      <c r="Y115" s="30" t="str">
        <f>IF(ISNA(VLOOKUP($A115,'Species Library'!$A$6:$Z$150,COLUMN('Species Library'!U111),FALSE)), "",VLOOKUP($A115,'Species Library'!$A$6:$Z$150,COLUMN('Species Library'!U111),FALSE))</f>
        <v/>
      </c>
      <c r="Z115" s="30" t="str">
        <f>IF(ISNA(VLOOKUP($A115,'Species Library'!$A$6:$Z$150,COLUMN('Species Library'!V111),FALSE)), "",VLOOKUP($A115,'Species Library'!$A$6:$Z$150,COLUMN('Species Library'!V111),FALSE))</f>
        <v/>
      </c>
      <c r="AA115" s="30" t="str">
        <f>IF(ISNA(VLOOKUP($A115,'Species Library'!$A$6:$Z$150,COLUMN('Species Library'!W111),FALSE)), "",VLOOKUP($A115,'Species Library'!$A$6:$Z$150,COLUMN('Species Library'!W111),FALSE))</f>
        <v/>
      </c>
      <c r="AB115" s="30" t="str">
        <f>IF(ISNA(VLOOKUP($A115,'Species Library'!$A$6:$Z$150,COLUMN('Species Library'!X111),FALSE)), "",VLOOKUP($A115,'Species Library'!$A$6:$Z$150,COLUMN('Species Library'!X111),FALSE))</f>
        <v/>
      </c>
      <c r="AC115" s="30" t="str">
        <f>IF(ISNA(VLOOKUP($A115,'Species Library'!$A$6:$Z$150,COLUMN('Species Library'!Y111),FALSE)), "",VLOOKUP($A115,'Species Library'!$A$6:$Z$150,COLUMN('Species Library'!Y111),FALSE))</f>
        <v/>
      </c>
      <c r="AD115" s="30" t="str">
        <f>IF(ISNA(VLOOKUP($A115,'Species Library'!$A$6:$Z$150,COLUMN('Species Library'!Z111),FALSE)), "",VLOOKUP($A115,'Species Library'!$A$6:$Z$150,COLUMN('Species Library'!Z111),FALSE))</f>
        <v/>
      </c>
    </row>
    <row r="116" spans="2:30" x14ac:dyDescent="0.4">
      <c r="B116" s="30" t="str">
        <f>IF(ISNA(VLOOKUP($A116,'Species Library'!$A$6:$Z$150,COLUMN('Species Library'!B112),FALSE)), "",VLOOKUP($A116,'Species Library'!$A$6:$Z$150,COLUMN('Species Library'!B112),FALSE))</f>
        <v/>
      </c>
      <c r="C116" s="30" t="str">
        <f>IF(ISNA(VLOOKUP($A116,'Species Library'!$A$6:$Z$150,COLUMN('Species Library'!C112),FALSE)), "",VLOOKUP($A116,'Species Library'!$A$6:$Z$150,COLUMN('Species Library'!C112),FALSE))</f>
        <v/>
      </c>
      <c r="D116" s="30" t="str">
        <f>IF(ISNA(VLOOKUP($A116,'Species Library'!$A$6:$Z$150,COLUMN('Species Library'!D112),FALSE)), "",VLOOKUP($A116,'Species Library'!$A$6:$Z$150,COLUMN('Species Library'!D112),FALSE))</f>
        <v/>
      </c>
      <c r="E116" s="30" t="str">
        <f>IF(ISNA(VLOOKUP($A116,'Species Library'!$A$6:$Z$150,COLUMN('Species Library'!E112),FALSE)), "",VLOOKUP($A116,'Species Library'!$A$6:$Z$150,COLUMN('Species Library'!E112),FALSE))</f>
        <v/>
      </c>
      <c r="F116" s="30" t="str">
        <f>IF(ISNA(VLOOKUP($A116,'Species Library'!$A$6:$Z$150,COLUMN('Species Library'!F112),FALSE)), "",VLOOKUP($A116,'Species Library'!$A$6:$Z$150,COLUMN('Species Library'!F112),FALSE))</f>
        <v/>
      </c>
      <c r="G116" s="30" t="str">
        <f t="shared" si="4"/>
        <v/>
      </c>
      <c r="H116" s="30" t="str">
        <f>IF(ISNA(VLOOKUP($A116,'Species Library'!$A$6:$Z$150,COLUMN('Species Library'!G112),FALSE)), "",VLOOKUP($A116,'Species Library'!$A$6:$Z$150,COLUMN('Species Library'!G112),FALSE))</f>
        <v/>
      </c>
      <c r="I116" s="30" t="str">
        <f>IF(ISNA(VLOOKUP($A116,'Species Library'!$A$6:$Z$150,COLUMN('Species Library'!H112),FALSE)), "",VLOOKUP($A116,'Species Library'!$A$6:$Z$150,COLUMN('Species Library'!H112),FALSE))</f>
        <v/>
      </c>
      <c r="J116" s="30" t="str">
        <f>IF(ISNA(VLOOKUP($A116,'Species Library'!$A$6:$Z$150,COLUMN('Species Library'!I112),FALSE)), "",VLOOKUP($A116,'Species Library'!$A$6:$Z$150,COLUMN('Species Library'!I112),FALSE))</f>
        <v/>
      </c>
      <c r="K116" s="30" t="str">
        <f>IF(ISNA(VLOOKUP($A116,'Species Library'!$A$6:$Z$150,COLUMN('Species Library'!J112),FALSE)), "",VLOOKUP($A116,'Species Library'!$A$6:$Z$150,COLUMN('Species Library'!J112),FALSE))</f>
        <v/>
      </c>
      <c r="L116" s="30" t="str">
        <f>IF(ISNA(VLOOKUP($A116,'Species Library'!$A$6:$Z$150,COLUMN('Species Library'!K112),FALSE)), "",VLOOKUP($A116,'Species Library'!$A$6:$Z$150,COLUMN('Species Library'!K112),FALSE))</f>
        <v/>
      </c>
      <c r="M116" s="30" t="str">
        <f t="shared" si="5"/>
        <v/>
      </c>
      <c r="N116" s="30" t="str">
        <f>IF(ISNA(VLOOKUP($A116,'Species Library'!$A$6:$Z$150,COLUMN('Species Library'!L112),FALSE)), "",VLOOKUP($A116,'Species Library'!$A$6:$Z$150,COLUMN('Species Library'!L112),FALSE))</f>
        <v/>
      </c>
      <c r="O116" s="30" t="str">
        <f>IF(ISNA(VLOOKUP($A116,'Species Library'!$A$6:$Z$150,COLUMN('Species Library'!M112),FALSE)), "",VLOOKUP($A116,'Species Library'!$A$6:$Z$150,COLUMN('Species Library'!M112),FALSE))</f>
        <v/>
      </c>
      <c r="P116" s="30" t="str">
        <f>IF(ISNA(VLOOKUP($A116,'Species Library'!$A$6:$Z$150,COLUMN('Species Library'!N112),FALSE)), "",VLOOKUP($A116,'Species Library'!$A$6:$Z$150,COLUMN('Species Library'!N112),FALSE))</f>
        <v/>
      </c>
      <c r="Q116" s="30" t="str">
        <f t="shared" si="6"/>
        <v/>
      </c>
      <c r="R116" s="30" t="str">
        <f>IF(ISNA(VLOOKUP($A116,'Species Library'!$A$6:$Z$150,COLUMN('Species Library'!O112),FALSE)), "",VLOOKUP($A116,'Species Library'!$A$6:$Z$150,COLUMN('Species Library'!O112),FALSE))</f>
        <v/>
      </c>
      <c r="S116" s="30" t="str">
        <f>IF(ISNA(VLOOKUP($A116,'Species Library'!$A$6:$Z$150,COLUMN('Species Library'!P112),FALSE)), "",VLOOKUP($A116,'Species Library'!$A$6:$Z$150,COLUMN('Species Library'!P112),FALSE))</f>
        <v/>
      </c>
      <c r="T116" s="30" t="str">
        <f>IF(ISNA(VLOOKUP($A116,'Species Library'!$A$6:$Z$150,COLUMN('Species Library'!Q112),FALSE)), "",VLOOKUP($A116,'Species Library'!$A$6:$Z$150,COLUMN('Species Library'!Q112),FALSE))</f>
        <v/>
      </c>
      <c r="U116" s="30" t="str">
        <f>IF(ISNA(VLOOKUP($A116,'Species Library'!$A$6:$Z$150,COLUMN('Species Library'!R112),FALSE)), "",VLOOKUP($A116,'Species Library'!$A$6:$Z$150,COLUMN('Species Library'!R112),FALSE))</f>
        <v/>
      </c>
      <c r="V116" s="30" t="str">
        <f>IF(ISNA(VLOOKUP($A116,'Species Library'!$A$6:$Z$150,COLUMN('Species Library'!S112),FALSE)), "",VLOOKUP($A116,'Species Library'!$A$6:$Z$150,COLUMN('Species Library'!S112),FALSE))</f>
        <v/>
      </c>
      <c r="W116" s="30" t="str">
        <f>IF(ISNA(VLOOKUP($A116,'Species Library'!$A$6:$Z$150,COLUMN('Species Library'!T112),FALSE)), "",VLOOKUP($A116,'Species Library'!$A$6:$Z$150,COLUMN('Species Library'!T112),FALSE))</f>
        <v/>
      </c>
      <c r="X116" s="30" t="str">
        <f t="shared" si="7"/>
        <v/>
      </c>
      <c r="Y116" s="30" t="str">
        <f>IF(ISNA(VLOOKUP($A116,'Species Library'!$A$6:$Z$150,COLUMN('Species Library'!U112),FALSE)), "",VLOOKUP($A116,'Species Library'!$A$6:$Z$150,COLUMN('Species Library'!U112),FALSE))</f>
        <v/>
      </c>
      <c r="Z116" s="30" t="str">
        <f>IF(ISNA(VLOOKUP($A116,'Species Library'!$A$6:$Z$150,COLUMN('Species Library'!V112),FALSE)), "",VLOOKUP($A116,'Species Library'!$A$6:$Z$150,COLUMN('Species Library'!V112),FALSE))</f>
        <v/>
      </c>
      <c r="AA116" s="30" t="str">
        <f>IF(ISNA(VLOOKUP($A116,'Species Library'!$A$6:$Z$150,COLUMN('Species Library'!W112),FALSE)), "",VLOOKUP($A116,'Species Library'!$A$6:$Z$150,COLUMN('Species Library'!W112),FALSE))</f>
        <v/>
      </c>
      <c r="AB116" s="30" t="str">
        <f>IF(ISNA(VLOOKUP($A116,'Species Library'!$A$6:$Z$150,COLUMN('Species Library'!X112),FALSE)), "",VLOOKUP($A116,'Species Library'!$A$6:$Z$150,COLUMN('Species Library'!X112),FALSE))</f>
        <v/>
      </c>
      <c r="AC116" s="30" t="str">
        <f>IF(ISNA(VLOOKUP($A116,'Species Library'!$A$6:$Z$150,COLUMN('Species Library'!Y112),FALSE)), "",VLOOKUP($A116,'Species Library'!$A$6:$Z$150,COLUMN('Species Library'!Y112),FALSE))</f>
        <v/>
      </c>
      <c r="AD116" s="30" t="str">
        <f>IF(ISNA(VLOOKUP($A116,'Species Library'!$A$6:$Z$150,COLUMN('Species Library'!Z112),FALSE)), "",VLOOKUP($A116,'Species Library'!$A$6:$Z$150,COLUMN('Species Library'!Z112),FALSE))</f>
        <v/>
      </c>
    </row>
    <row r="117" spans="2:30" x14ac:dyDescent="0.4">
      <c r="B117" s="30" t="str">
        <f>IF(ISNA(VLOOKUP($A117,'Species Library'!$A$6:$Z$150,COLUMN('Species Library'!B113),FALSE)), "",VLOOKUP($A117,'Species Library'!$A$6:$Z$150,COLUMN('Species Library'!B113),FALSE))</f>
        <v/>
      </c>
      <c r="C117" s="30" t="str">
        <f>IF(ISNA(VLOOKUP($A117,'Species Library'!$A$6:$Z$150,COLUMN('Species Library'!C113),FALSE)), "",VLOOKUP($A117,'Species Library'!$A$6:$Z$150,COLUMN('Species Library'!C113),FALSE))</f>
        <v/>
      </c>
      <c r="D117" s="30" t="str">
        <f>IF(ISNA(VLOOKUP($A117,'Species Library'!$A$6:$Z$150,COLUMN('Species Library'!D113),FALSE)), "",VLOOKUP($A117,'Species Library'!$A$6:$Z$150,COLUMN('Species Library'!D113),FALSE))</f>
        <v/>
      </c>
      <c r="E117" s="30" t="str">
        <f>IF(ISNA(VLOOKUP($A117,'Species Library'!$A$6:$Z$150,COLUMN('Species Library'!E113),FALSE)), "",VLOOKUP($A117,'Species Library'!$A$6:$Z$150,COLUMN('Species Library'!E113),FALSE))</f>
        <v/>
      </c>
      <c r="F117" s="30" t="str">
        <f>IF(ISNA(VLOOKUP($A117,'Species Library'!$A$6:$Z$150,COLUMN('Species Library'!F113),FALSE)), "",VLOOKUP($A117,'Species Library'!$A$6:$Z$150,COLUMN('Species Library'!F113),FALSE))</f>
        <v/>
      </c>
      <c r="G117" s="30" t="str">
        <f t="shared" si="4"/>
        <v/>
      </c>
      <c r="H117" s="30" t="str">
        <f>IF(ISNA(VLOOKUP($A117,'Species Library'!$A$6:$Z$150,COLUMN('Species Library'!G113),FALSE)), "",VLOOKUP($A117,'Species Library'!$A$6:$Z$150,COLUMN('Species Library'!G113),FALSE))</f>
        <v/>
      </c>
      <c r="I117" s="30" t="str">
        <f>IF(ISNA(VLOOKUP($A117,'Species Library'!$A$6:$Z$150,COLUMN('Species Library'!H113),FALSE)), "",VLOOKUP($A117,'Species Library'!$A$6:$Z$150,COLUMN('Species Library'!H113),FALSE))</f>
        <v/>
      </c>
      <c r="J117" s="30" t="str">
        <f>IF(ISNA(VLOOKUP($A117,'Species Library'!$A$6:$Z$150,COLUMN('Species Library'!I113),FALSE)), "",VLOOKUP($A117,'Species Library'!$A$6:$Z$150,COLUMN('Species Library'!I113),FALSE))</f>
        <v/>
      </c>
      <c r="K117" s="30" t="str">
        <f>IF(ISNA(VLOOKUP($A117,'Species Library'!$A$6:$Z$150,COLUMN('Species Library'!J113),FALSE)), "",VLOOKUP($A117,'Species Library'!$A$6:$Z$150,COLUMN('Species Library'!J113),FALSE))</f>
        <v/>
      </c>
      <c r="L117" s="30" t="str">
        <f>IF(ISNA(VLOOKUP($A117,'Species Library'!$A$6:$Z$150,COLUMN('Species Library'!K113),FALSE)), "",VLOOKUP($A117,'Species Library'!$A$6:$Z$150,COLUMN('Species Library'!K113),FALSE))</f>
        <v/>
      </c>
      <c r="M117" s="30" t="str">
        <f t="shared" si="5"/>
        <v/>
      </c>
      <c r="N117" s="30" t="str">
        <f>IF(ISNA(VLOOKUP($A117,'Species Library'!$A$6:$Z$150,COLUMN('Species Library'!L113),FALSE)), "",VLOOKUP($A117,'Species Library'!$A$6:$Z$150,COLUMN('Species Library'!L113),FALSE))</f>
        <v/>
      </c>
      <c r="O117" s="30" t="str">
        <f>IF(ISNA(VLOOKUP($A117,'Species Library'!$A$6:$Z$150,COLUMN('Species Library'!M113),FALSE)), "",VLOOKUP($A117,'Species Library'!$A$6:$Z$150,COLUMN('Species Library'!M113),FALSE))</f>
        <v/>
      </c>
      <c r="P117" s="30" t="str">
        <f>IF(ISNA(VLOOKUP($A117,'Species Library'!$A$6:$Z$150,COLUMN('Species Library'!N113),FALSE)), "",VLOOKUP($A117,'Species Library'!$A$6:$Z$150,COLUMN('Species Library'!N113),FALSE))</f>
        <v/>
      </c>
      <c r="Q117" s="30" t="str">
        <f t="shared" si="6"/>
        <v/>
      </c>
      <c r="R117" s="30" t="str">
        <f>IF(ISNA(VLOOKUP($A117,'Species Library'!$A$6:$Z$150,COLUMN('Species Library'!O113),FALSE)), "",VLOOKUP($A117,'Species Library'!$A$6:$Z$150,COLUMN('Species Library'!O113),FALSE))</f>
        <v/>
      </c>
      <c r="S117" s="30" t="str">
        <f>IF(ISNA(VLOOKUP($A117,'Species Library'!$A$6:$Z$150,COLUMN('Species Library'!P113),FALSE)), "",VLOOKUP($A117,'Species Library'!$A$6:$Z$150,COLUMN('Species Library'!P113),FALSE))</f>
        <v/>
      </c>
      <c r="T117" s="30" t="str">
        <f>IF(ISNA(VLOOKUP($A117,'Species Library'!$A$6:$Z$150,COLUMN('Species Library'!Q113),FALSE)), "",VLOOKUP($A117,'Species Library'!$A$6:$Z$150,COLUMN('Species Library'!Q113),FALSE))</f>
        <v/>
      </c>
      <c r="U117" s="30" t="str">
        <f>IF(ISNA(VLOOKUP($A117,'Species Library'!$A$6:$Z$150,COLUMN('Species Library'!R113),FALSE)), "",VLOOKUP($A117,'Species Library'!$A$6:$Z$150,COLUMN('Species Library'!R113),FALSE))</f>
        <v/>
      </c>
      <c r="V117" s="30" t="str">
        <f>IF(ISNA(VLOOKUP($A117,'Species Library'!$A$6:$Z$150,COLUMN('Species Library'!S113),FALSE)), "",VLOOKUP($A117,'Species Library'!$A$6:$Z$150,COLUMN('Species Library'!S113),FALSE))</f>
        <v/>
      </c>
      <c r="W117" s="30" t="str">
        <f>IF(ISNA(VLOOKUP($A117,'Species Library'!$A$6:$Z$150,COLUMN('Species Library'!T113),FALSE)), "",VLOOKUP($A117,'Species Library'!$A$6:$Z$150,COLUMN('Species Library'!T113),FALSE))</f>
        <v/>
      </c>
      <c r="X117" s="30" t="str">
        <f t="shared" si="7"/>
        <v/>
      </c>
      <c r="Y117" s="30" t="str">
        <f>IF(ISNA(VLOOKUP($A117,'Species Library'!$A$6:$Z$150,COLUMN('Species Library'!U113),FALSE)), "",VLOOKUP($A117,'Species Library'!$A$6:$Z$150,COLUMN('Species Library'!U113),FALSE))</f>
        <v/>
      </c>
      <c r="Z117" s="30" t="str">
        <f>IF(ISNA(VLOOKUP($A117,'Species Library'!$A$6:$Z$150,COLUMN('Species Library'!V113),FALSE)), "",VLOOKUP($A117,'Species Library'!$A$6:$Z$150,COLUMN('Species Library'!V113),FALSE))</f>
        <v/>
      </c>
      <c r="AA117" s="30" t="str">
        <f>IF(ISNA(VLOOKUP($A117,'Species Library'!$A$6:$Z$150,COLUMN('Species Library'!W113),FALSE)), "",VLOOKUP($A117,'Species Library'!$A$6:$Z$150,COLUMN('Species Library'!W113),FALSE))</f>
        <v/>
      </c>
      <c r="AB117" s="30" t="str">
        <f>IF(ISNA(VLOOKUP($A117,'Species Library'!$A$6:$Z$150,COLUMN('Species Library'!X113),FALSE)), "",VLOOKUP($A117,'Species Library'!$A$6:$Z$150,COLUMN('Species Library'!X113),FALSE))</f>
        <v/>
      </c>
      <c r="AC117" s="30" t="str">
        <f>IF(ISNA(VLOOKUP($A117,'Species Library'!$A$6:$Z$150,COLUMN('Species Library'!Y113),FALSE)), "",VLOOKUP($A117,'Species Library'!$A$6:$Z$150,COLUMN('Species Library'!Y113),FALSE))</f>
        <v/>
      </c>
      <c r="AD117" s="30" t="str">
        <f>IF(ISNA(VLOOKUP($A117,'Species Library'!$A$6:$Z$150,COLUMN('Species Library'!Z113),FALSE)), "",VLOOKUP($A117,'Species Library'!$A$6:$Z$150,COLUMN('Species Library'!Z113),FALSE))</f>
        <v/>
      </c>
    </row>
    <row r="118" spans="2:30" x14ac:dyDescent="0.4">
      <c r="B118" s="30" t="str">
        <f>IF(ISNA(VLOOKUP($A118,'Species Library'!$A$6:$Z$150,COLUMN('Species Library'!B114),FALSE)), "",VLOOKUP($A118,'Species Library'!$A$6:$Z$150,COLUMN('Species Library'!B114),FALSE))</f>
        <v/>
      </c>
      <c r="C118" s="30" t="str">
        <f>IF(ISNA(VLOOKUP($A118,'Species Library'!$A$6:$Z$150,COLUMN('Species Library'!C114),FALSE)), "",VLOOKUP($A118,'Species Library'!$A$6:$Z$150,COLUMN('Species Library'!C114),FALSE))</f>
        <v/>
      </c>
      <c r="D118" s="30" t="str">
        <f>IF(ISNA(VLOOKUP($A118,'Species Library'!$A$6:$Z$150,COLUMN('Species Library'!D114),FALSE)), "",VLOOKUP($A118,'Species Library'!$A$6:$Z$150,COLUMN('Species Library'!D114),FALSE))</f>
        <v/>
      </c>
      <c r="E118" s="30" t="str">
        <f>IF(ISNA(VLOOKUP($A118,'Species Library'!$A$6:$Z$150,COLUMN('Species Library'!E114),FALSE)), "",VLOOKUP($A118,'Species Library'!$A$6:$Z$150,COLUMN('Species Library'!E114),FALSE))</f>
        <v/>
      </c>
      <c r="F118" s="30" t="str">
        <f>IF(ISNA(VLOOKUP($A118,'Species Library'!$A$6:$Z$150,COLUMN('Species Library'!F114),FALSE)), "",VLOOKUP($A118,'Species Library'!$A$6:$Z$150,COLUMN('Species Library'!F114),FALSE))</f>
        <v/>
      </c>
      <c r="G118" s="30" t="str">
        <f t="shared" si="4"/>
        <v/>
      </c>
      <c r="H118" s="30" t="str">
        <f>IF(ISNA(VLOOKUP($A118,'Species Library'!$A$6:$Z$150,COLUMN('Species Library'!G114),FALSE)), "",VLOOKUP($A118,'Species Library'!$A$6:$Z$150,COLUMN('Species Library'!G114),FALSE))</f>
        <v/>
      </c>
      <c r="I118" s="30" t="str">
        <f>IF(ISNA(VLOOKUP($A118,'Species Library'!$A$6:$Z$150,COLUMN('Species Library'!H114),FALSE)), "",VLOOKUP($A118,'Species Library'!$A$6:$Z$150,COLUMN('Species Library'!H114),FALSE))</f>
        <v/>
      </c>
      <c r="J118" s="30" t="str">
        <f>IF(ISNA(VLOOKUP($A118,'Species Library'!$A$6:$Z$150,COLUMN('Species Library'!I114),FALSE)), "",VLOOKUP($A118,'Species Library'!$A$6:$Z$150,COLUMN('Species Library'!I114),FALSE))</f>
        <v/>
      </c>
      <c r="K118" s="30" t="str">
        <f>IF(ISNA(VLOOKUP($A118,'Species Library'!$A$6:$Z$150,COLUMN('Species Library'!J114),FALSE)), "",VLOOKUP($A118,'Species Library'!$A$6:$Z$150,COLUMN('Species Library'!J114),FALSE))</f>
        <v/>
      </c>
      <c r="L118" s="30" t="str">
        <f>IF(ISNA(VLOOKUP($A118,'Species Library'!$A$6:$Z$150,COLUMN('Species Library'!K114),FALSE)), "",VLOOKUP($A118,'Species Library'!$A$6:$Z$150,COLUMN('Species Library'!K114),FALSE))</f>
        <v/>
      </c>
      <c r="M118" s="30" t="str">
        <f t="shared" si="5"/>
        <v/>
      </c>
      <c r="N118" s="30" t="str">
        <f>IF(ISNA(VLOOKUP($A118,'Species Library'!$A$6:$Z$150,COLUMN('Species Library'!L114),FALSE)), "",VLOOKUP($A118,'Species Library'!$A$6:$Z$150,COLUMN('Species Library'!L114),FALSE))</f>
        <v/>
      </c>
      <c r="O118" s="30" t="str">
        <f>IF(ISNA(VLOOKUP($A118,'Species Library'!$A$6:$Z$150,COLUMN('Species Library'!M114),FALSE)), "",VLOOKUP($A118,'Species Library'!$A$6:$Z$150,COLUMN('Species Library'!M114),FALSE))</f>
        <v/>
      </c>
      <c r="P118" s="30" t="str">
        <f>IF(ISNA(VLOOKUP($A118,'Species Library'!$A$6:$Z$150,COLUMN('Species Library'!N114),FALSE)), "",VLOOKUP($A118,'Species Library'!$A$6:$Z$150,COLUMN('Species Library'!N114),FALSE))</f>
        <v/>
      </c>
      <c r="Q118" s="30" t="str">
        <f t="shared" si="6"/>
        <v/>
      </c>
      <c r="R118" s="30" t="str">
        <f>IF(ISNA(VLOOKUP($A118,'Species Library'!$A$6:$Z$150,COLUMN('Species Library'!O114),FALSE)), "",VLOOKUP($A118,'Species Library'!$A$6:$Z$150,COLUMN('Species Library'!O114),FALSE))</f>
        <v/>
      </c>
      <c r="S118" s="30" t="str">
        <f>IF(ISNA(VLOOKUP($A118,'Species Library'!$A$6:$Z$150,COLUMN('Species Library'!P114),FALSE)), "",VLOOKUP($A118,'Species Library'!$A$6:$Z$150,COLUMN('Species Library'!P114),FALSE))</f>
        <v/>
      </c>
      <c r="T118" s="30" t="str">
        <f>IF(ISNA(VLOOKUP($A118,'Species Library'!$A$6:$Z$150,COLUMN('Species Library'!Q114),FALSE)), "",VLOOKUP($A118,'Species Library'!$A$6:$Z$150,COLUMN('Species Library'!Q114),FALSE))</f>
        <v/>
      </c>
      <c r="U118" s="30" t="str">
        <f>IF(ISNA(VLOOKUP($A118,'Species Library'!$A$6:$Z$150,COLUMN('Species Library'!R114),FALSE)), "",VLOOKUP($A118,'Species Library'!$A$6:$Z$150,COLUMN('Species Library'!R114),FALSE))</f>
        <v/>
      </c>
      <c r="V118" s="30" t="str">
        <f>IF(ISNA(VLOOKUP($A118,'Species Library'!$A$6:$Z$150,COLUMN('Species Library'!S114),FALSE)), "",VLOOKUP($A118,'Species Library'!$A$6:$Z$150,COLUMN('Species Library'!S114),FALSE))</f>
        <v/>
      </c>
      <c r="W118" s="30" t="str">
        <f>IF(ISNA(VLOOKUP($A118,'Species Library'!$A$6:$Z$150,COLUMN('Species Library'!T114),FALSE)), "",VLOOKUP($A118,'Species Library'!$A$6:$Z$150,COLUMN('Species Library'!T114),FALSE))</f>
        <v/>
      </c>
      <c r="X118" s="30" t="str">
        <f t="shared" si="7"/>
        <v/>
      </c>
      <c r="Y118" s="30" t="str">
        <f>IF(ISNA(VLOOKUP($A118,'Species Library'!$A$6:$Z$150,COLUMN('Species Library'!U114),FALSE)), "",VLOOKUP($A118,'Species Library'!$A$6:$Z$150,COLUMN('Species Library'!U114),FALSE))</f>
        <v/>
      </c>
      <c r="Z118" s="30" t="str">
        <f>IF(ISNA(VLOOKUP($A118,'Species Library'!$A$6:$Z$150,COLUMN('Species Library'!V114),FALSE)), "",VLOOKUP($A118,'Species Library'!$A$6:$Z$150,COLUMN('Species Library'!V114),FALSE))</f>
        <v/>
      </c>
      <c r="AA118" s="30" t="str">
        <f>IF(ISNA(VLOOKUP($A118,'Species Library'!$A$6:$Z$150,COLUMN('Species Library'!W114),FALSE)), "",VLOOKUP($A118,'Species Library'!$A$6:$Z$150,COLUMN('Species Library'!W114),FALSE))</f>
        <v/>
      </c>
      <c r="AB118" s="30" t="str">
        <f>IF(ISNA(VLOOKUP($A118,'Species Library'!$A$6:$Z$150,COLUMN('Species Library'!X114),FALSE)), "",VLOOKUP($A118,'Species Library'!$A$6:$Z$150,COLUMN('Species Library'!X114),FALSE))</f>
        <v/>
      </c>
      <c r="AC118" s="30" t="str">
        <f>IF(ISNA(VLOOKUP($A118,'Species Library'!$A$6:$Z$150,COLUMN('Species Library'!Y114),FALSE)), "",VLOOKUP($A118,'Species Library'!$A$6:$Z$150,COLUMN('Species Library'!Y114),FALSE))</f>
        <v/>
      </c>
      <c r="AD118" s="30" t="str">
        <f>IF(ISNA(VLOOKUP($A118,'Species Library'!$A$6:$Z$150,COLUMN('Species Library'!Z114),FALSE)), "",VLOOKUP($A118,'Species Library'!$A$6:$Z$150,COLUMN('Species Library'!Z114),FALSE))</f>
        <v/>
      </c>
    </row>
    <row r="119" spans="2:30" x14ac:dyDescent="0.4">
      <c r="B119" s="30" t="str">
        <f>IF(ISNA(VLOOKUP($A119,'Species Library'!$A$6:$Z$150,COLUMN('Species Library'!B115),FALSE)), "",VLOOKUP($A119,'Species Library'!$A$6:$Z$150,COLUMN('Species Library'!B115),FALSE))</f>
        <v/>
      </c>
      <c r="C119" s="30" t="str">
        <f>IF(ISNA(VLOOKUP($A119,'Species Library'!$A$6:$Z$150,COLUMN('Species Library'!C115),FALSE)), "",VLOOKUP($A119,'Species Library'!$A$6:$Z$150,COLUMN('Species Library'!C115),FALSE))</f>
        <v/>
      </c>
      <c r="D119" s="30" t="str">
        <f>IF(ISNA(VLOOKUP($A119,'Species Library'!$A$6:$Z$150,COLUMN('Species Library'!D115),FALSE)), "",VLOOKUP($A119,'Species Library'!$A$6:$Z$150,COLUMN('Species Library'!D115),FALSE))</f>
        <v/>
      </c>
      <c r="E119" s="30" t="str">
        <f>IF(ISNA(VLOOKUP($A119,'Species Library'!$A$6:$Z$150,COLUMN('Species Library'!E115),FALSE)), "",VLOOKUP($A119,'Species Library'!$A$6:$Z$150,COLUMN('Species Library'!E115),FALSE))</f>
        <v/>
      </c>
      <c r="F119" s="30" t="str">
        <f>IF(ISNA(VLOOKUP($A119,'Species Library'!$A$6:$Z$150,COLUMN('Species Library'!F115),FALSE)), "",VLOOKUP($A119,'Species Library'!$A$6:$Z$150,COLUMN('Species Library'!F115),FALSE))</f>
        <v/>
      </c>
      <c r="G119" s="30" t="str">
        <f t="shared" si="4"/>
        <v/>
      </c>
      <c r="H119" s="30" t="str">
        <f>IF(ISNA(VLOOKUP($A119,'Species Library'!$A$6:$Z$150,COLUMN('Species Library'!G115),FALSE)), "",VLOOKUP($A119,'Species Library'!$A$6:$Z$150,COLUMN('Species Library'!G115),FALSE))</f>
        <v/>
      </c>
      <c r="I119" s="30" t="str">
        <f>IF(ISNA(VLOOKUP($A119,'Species Library'!$A$6:$Z$150,COLUMN('Species Library'!H115),FALSE)), "",VLOOKUP($A119,'Species Library'!$A$6:$Z$150,COLUMN('Species Library'!H115),FALSE))</f>
        <v/>
      </c>
      <c r="J119" s="30" t="str">
        <f>IF(ISNA(VLOOKUP($A119,'Species Library'!$A$6:$Z$150,COLUMN('Species Library'!I115),FALSE)), "",VLOOKUP($A119,'Species Library'!$A$6:$Z$150,COLUMN('Species Library'!I115),FALSE))</f>
        <v/>
      </c>
      <c r="K119" s="30" t="str">
        <f>IF(ISNA(VLOOKUP($A119,'Species Library'!$A$6:$Z$150,COLUMN('Species Library'!J115),FALSE)), "",VLOOKUP($A119,'Species Library'!$A$6:$Z$150,COLUMN('Species Library'!J115),FALSE))</f>
        <v/>
      </c>
      <c r="L119" s="30" t="str">
        <f>IF(ISNA(VLOOKUP($A119,'Species Library'!$A$6:$Z$150,COLUMN('Species Library'!K115),FALSE)), "",VLOOKUP($A119,'Species Library'!$A$6:$Z$150,COLUMN('Species Library'!K115),FALSE))</f>
        <v/>
      </c>
      <c r="M119" s="30" t="str">
        <f t="shared" si="5"/>
        <v/>
      </c>
      <c r="N119" s="30" t="str">
        <f>IF(ISNA(VLOOKUP($A119,'Species Library'!$A$6:$Z$150,COLUMN('Species Library'!L115),FALSE)), "",VLOOKUP($A119,'Species Library'!$A$6:$Z$150,COLUMN('Species Library'!L115),FALSE))</f>
        <v/>
      </c>
      <c r="O119" s="30" t="str">
        <f>IF(ISNA(VLOOKUP($A119,'Species Library'!$A$6:$Z$150,COLUMN('Species Library'!M115),FALSE)), "",VLOOKUP($A119,'Species Library'!$A$6:$Z$150,COLUMN('Species Library'!M115),FALSE))</f>
        <v/>
      </c>
      <c r="P119" s="30" t="str">
        <f>IF(ISNA(VLOOKUP($A119,'Species Library'!$A$6:$Z$150,COLUMN('Species Library'!N115),FALSE)), "",VLOOKUP($A119,'Species Library'!$A$6:$Z$150,COLUMN('Species Library'!N115),FALSE))</f>
        <v/>
      </c>
      <c r="Q119" s="30" t="str">
        <f t="shared" si="6"/>
        <v/>
      </c>
      <c r="R119" s="30" t="str">
        <f>IF(ISNA(VLOOKUP($A119,'Species Library'!$A$6:$Z$150,COLUMN('Species Library'!O115),FALSE)), "",VLOOKUP($A119,'Species Library'!$A$6:$Z$150,COLUMN('Species Library'!O115),FALSE))</f>
        <v/>
      </c>
      <c r="S119" s="30" t="str">
        <f>IF(ISNA(VLOOKUP($A119,'Species Library'!$A$6:$Z$150,COLUMN('Species Library'!P115),FALSE)), "",VLOOKUP($A119,'Species Library'!$A$6:$Z$150,COLUMN('Species Library'!P115),FALSE))</f>
        <v/>
      </c>
      <c r="T119" s="30" t="str">
        <f>IF(ISNA(VLOOKUP($A119,'Species Library'!$A$6:$Z$150,COLUMN('Species Library'!Q115),FALSE)), "",VLOOKUP($A119,'Species Library'!$A$6:$Z$150,COLUMN('Species Library'!Q115),FALSE))</f>
        <v/>
      </c>
      <c r="U119" s="30" t="str">
        <f>IF(ISNA(VLOOKUP($A119,'Species Library'!$A$6:$Z$150,COLUMN('Species Library'!R115),FALSE)), "",VLOOKUP($A119,'Species Library'!$A$6:$Z$150,COLUMN('Species Library'!R115),FALSE))</f>
        <v/>
      </c>
      <c r="V119" s="30" t="str">
        <f>IF(ISNA(VLOOKUP($A119,'Species Library'!$A$6:$Z$150,COLUMN('Species Library'!S115),FALSE)), "",VLOOKUP($A119,'Species Library'!$A$6:$Z$150,COLUMN('Species Library'!S115),FALSE))</f>
        <v/>
      </c>
      <c r="W119" s="30" t="str">
        <f>IF(ISNA(VLOOKUP($A119,'Species Library'!$A$6:$Z$150,COLUMN('Species Library'!T115),FALSE)), "",VLOOKUP($A119,'Species Library'!$A$6:$Z$150,COLUMN('Species Library'!T115),FALSE))</f>
        <v/>
      </c>
      <c r="X119" s="30" t="str">
        <f t="shared" si="7"/>
        <v/>
      </c>
      <c r="Y119" s="30" t="str">
        <f>IF(ISNA(VLOOKUP($A119,'Species Library'!$A$6:$Z$150,COLUMN('Species Library'!U115),FALSE)), "",VLOOKUP($A119,'Species Library'!$A$6:$Z$150,COLUMN('Species Library'!U115),FALSE))</f>
        <v/>
      </c>
      <c r="Z119" s="30" t="str">
        <f>IF(ISNA(VLOOKUP($A119,'Species Library'!$A$6:$Z$150,COLUMN('Species Library'!V115),FALSE)), "",VLOOKUP($A119,'Species Library'!$A$6:$Z$150,COLUMN('Species Library'!V115),FALSE))</f>
        <v/>
      </c>
      <c r="AA119" s="30" t="str">
        <f>IF(ISNA(VLOOKUP($A119,'Species Library'!$A$6:$Z$150,COLUMN('Species Library'!W115),FALSE)), "",VLOOKUP($A119,'Species Library'!$A$6:$Z$150,COLUMN('Species Library'!W115),FALSE))</f>
        <v/>
      </c>
      <c r="AB119" s="30" t="str">
        <f>IF(ISNA(VLOOKUP($A119,'Species Library'!$A$6:$Z$150,COLUMN('Species Library'!X115),FALSE)), "",VLOOKUP($A119,'Species Library'!$A$6:$Z$150,COLUMN('Species Library'!X115),FALSE))</f>
        <v/>
      </c>
      <c r="AC119" s="30" t="str">
        <f>IF(ISNA(VLOOKUP($A119,'Species Library'!$A$6:$Z$150,COLUMN('Species Library'!Y115),FALSE)), "",VLOOKUP($A119,'Species Library'!$A$6:$Z$150,COLUMN('Species Library'!Y115),FALSE))</f>
        <v/>
      </c>
      <c r="AD119" s="30" t="str">
        <f>IF(ISNA(VLOOKUP($A119,'Species Library'!$A$6:$Z$150,COLUMN('Species Library'!Z115),FALSE)), "",VLOOKUP($A119,'Species Library'!$A$6:$Z$150,COLUMN('Species Library'!Z115),FALSE))</f>
        <v/>
      </c>
    </row>
    <row r="120" spans="2:30" x14ac:dyDescent="0.4">
      <c r="B120" s="30" t="str">
        <f>IF(ISNA(VLOOKUP($A120,'Species Library'!$A$6:$Z$150,COLUMN('Species Library'!B116),FALSE)), "",VLOOKUP($A120,'Species Library'!$A$6:$Z$150,COLUMN('Species Library'!B116),FALSE))</f>
        <v/>
      </c>
      <c r="C120" s="30" t="str">
        <f>IF(ISNA(VLOOKUP($A120,'Species Library'!$A$6:$Z$150,COLUMN('Species Library'!C116),FALSE)), "",VLOOKUP($A120,'Species Library'!$A$6:$Z$150,COLUMN('Species Library'!C116),FALSE))</f>
        <v/>
      </c>
      <c r="D120" s="30" t="str">
        <f>IF(ISNA(VLOOKUP($A120,'Species Library'!$A$6:$Z$150,COLUMN('Species Library'!D116),FALSE)), "",VLOOKUP($A120,'Species Library'!$A$6:$Z$150,COLUMN('Species Library'!D116),FALSE))</f>
        <v/>
      </c>
      <c r="E120" s="30" t="str">
        <f>IF(ISNA(VLOOKUP($A120,'Species Library'!$A$6:$Z$150,COLUMN('Species Library'!E116),FALSE)), "",VLOOKUP($A120,'Species Library'!$A$6:$Z$150,COLUMN('Species Library'!E116),FALSE))</f>
        <v/>
      </c>
      <c r="F120" s="30" t="str">
        <f>IF(ISNA(VLOOKUP($A120,'Species Library'!$A$6:$Z$150,COLUMN('Species Library'!F116),FALSE)), "",VLOOKUP($A120,'Species Library'!$A$6:$Z$150,COLUMN('Species Library'!F116),FALSE))</f>
        <v/>
      </c>
      <c r="G120" s="30" t="str">
        <f t="shared" si="4"/>
        <v/>
      </c>
      <c r="H120" s="30" t="str">
        <f>IF(ISNA(VLOOKUP($A120,'Species Library'!$A$6:$Z$150,COLUMN('Species Library'!G116),FALSE)), "",VLOOKUP($A120,'Species Library'!$A$6:$Z$150,COLUMN('Species Library'!G116),FALSE))</f>
        <v/>
      </c>
      <c r="I120" s="30" t="str">
        <f>IF(ISNA(VLOOKUP($A120,'Species Library'!$A$6:$Z$150,COLUMN('Species Library'!H116),FALSE)), "",VLOOKUP($A120,'Species Library'!$A$6:$Z$150,COLUMN('Species Library'!H116),FALSE))</f>
        <v/>
      </c>
      <c r="J120" s="30" t="str">
        <f>IF(ISNA(VLOOKUP($A120,'Species Library'!$A$6:$Z$150,COLUMN('Species Library'!I116),FALSE)), "",VLOOKUP($A120,'Species Library'!$A$6:$Z$150,COLUMN('Species Library'!I116),FALSE))</f>
        <v/>
      </c>
      <c r="K120" s="30" t="str">
        <f>IF(ISNA(VLOOKUP($A120,'Species Library'!$A$6:$Z$150,COLUMN('Species Library'!J116),FALSE)), "",VLOOKUP($A120,'Species Library'!$A$6:$Z$150,COLUMN('Species Library'!J116),FALSE))</f>
        <v/>
      </c>
      <c r="L120" s="30" t="str">
        <f>IF(ISNA(VLOOKUP($A120,'Species Library'!$A$6:$Z$150,COLUMN('Species Library'!K116),FALSE)), "",VLOOKUP($A120,'Species Library'!$A$6:$Z$150,COLUMN('Species Library'!K116),FALSE))</f>
        <v/>
      </c>
      <c r="M120" s="30" t="str">
        <f t="shared" si="5"/>
        <v/>
      </c>
      <c r="N120" s="30" t="str">
        <f>IF(ISNA(VLOOKUP($A120,'Species Library'!$A$6:$Z$150,COLUMN('Species Library'!L116),FALSE)), "",VLOOKUP($A120,'Species Library'!$A$6:$Z$150,COLUMN('Species Library'!L116),FALSE))</f>
        <v/>
      </c>
      <c r="O120" s="30" t="str">
        <f>IF(ISNA(VLOOKUP($A120,'Species Library'!$A$6:$Z$150,COLUMN('Species Library'!M116),FALSE)), "",VLOOKUP($A120,'Species Library'!$A$6:$Z$150,COLUMN('Species Library'!M116),FALSE))</f>
        <v/>
      </c>
      <c r="P120" s="30" t="str">
        <f>IF(ISNA(VLOOKUP($A120,'Species Library'!$A$6:$Z$150,COLUMN('Species Library'!N116),FALSE)), "",VLOOKUP($A120,'Species Library'!$A$6:$Z$150,COLUMN('Species Library'!N116),FALSE))</f>
        <v/>
      </c>
      <c r="Q120" s="30" t="str">
        <f t="shared" si="6"/>
        <v/>
      </c>
      <c r="R120" s="30" t="str">
        <f>IF(ISNA(VLOOKUP($A120,'Species Library'!$A$6:$Z$150,COLUMN('Species Library'!O116),FALSE)), "",VLOOKUP($A120,'Species Library'!$A$6:$Z$150,COLUMN('Species Library'!O116),FALSE))</f>
        <v/>
      </c>
      <c r="S120" s="30" t="str">
        <f>IF(ISNA(VLOOKUP($A120,'Species Library'!$A$6:$Z$150,COLUMN('Species Library'!P116),FALSE)), "",VLOOKUP($A120,'Species Library'!$A$6:$Z$150,COLUMN('Species Library'!P116),FALSE))</f>
        <v/>
      </c>
      <c r="T120" s="30" t="str">
        <f>IF(ISNA(VLOOKUP($A120,'Species Library'!$A$6:$Z$150,COLUMN('Species Library'!Q116),FALSE)), "",VLOOKUP($A120,'Species Library'!$A$6:$Z$150,COLUMN('Species Library'!Q116),FALSE))</f>
        <v/>
      </c>
      <c r="U120" s="30" t="str">
        <f>IF(ISNA(VLOOKUP($A120,'Species Library'!$A$6:$Z$150,COLUMN('Species Library'!R116),FALSE)), "",VLOOKUP($A120,'Species Library'!$A$6:$Z$150,COLUMN('Species Library'!R116),FALSE))</f>
        <v/>
      </c>
      <c r="V120" s="30" t="str">
        <f>IF(ISNA(VLOOKUP($A120,'Species Library'!$A$6:$Z$150,COLUMN('Species Library'!S116),FALSE)), "",VLOOKUP($A120,'Species Library'!$A$6:$Z$150,COLUMN('Species Library'!S116),FALSE))</f>
        <v/>
      </c>
      <c r="W120" s="30" t="str">
        <f>IF(ISNA(VLOOKUP($A120,'Species Library'!$A$6:$Z$150,COLUMN('Species Library'!T116),FALSE)), "",VLOOKUP($A120,'Species Library'!$A$6:$Z$150,COLUMN('Species Library'!T116),FALSE))</f>
        <v/>
      </c>
      <c r="X120" s="30" t="str">
        <f t="shared" si="7"/>
        <v/>
      </c>
      <c r="Y120" s="30" t="str">
        <f>IF(ISNA(VLOOKUP($A120,'Species Library'!$A$6:$Z$150,COLUMN('Species Library'!U116),FALSE)), "",VLOOKUP($A120,'Species Library'!$A$6:$Z$150,COLUMN('Species Library'!U116),FALSE))</f>
        <v/>
      </c>
      <c r="Z120" s="30" t="str">
        <f>IF(ISNA(VLOOKUP($A120,'Species Library'!$A$6:$Z$150,COLUMN('Species Library'!V116),FALSE)), "",VLOOKUP($A120,'Species Library'!$A$6:$Z$150,COLUMN('Species Library'!V116),FALSE))</f>
        <v/>
      </c>
      <c r="AA120" s="30" t="str">
        <f>IF(ISNA(VLOOKUP($A120,'Species Library'!$A$6:$Z$150,COLUMN('Species Library'!W116),FALSE)), "",VLOOKUP($A120,'Species Library'!$A$6:$Z$150,COLUMN('Species Library'!W116),FALSE))</f>
        <v/>
      </c>
      <c r="AB120" s="30" t="str">
        <f>IF(ISNA(VLOOKUP($A120,'Species Library'!$A$6:$Z$150,COLUMN('Species Library'!X116),FALSE)), "",VLOOKUP($A120,'Species Library'!$A$6:$Z$150,COLUMN('Species Library'!X116),FALSE))</f>
        <v/>
      </c>
      <c r="AC120" s="30" t="str">
        <f>IF(ISNA(VLOOKUP($A120,'Species Library'!$A$6:$Z$150,COLUMN('Species Library'!Y116),FALSE)), "",VLOOKUP($A120,'Species Library'!$A$6:$Z$150,COLUMN('Species Library'!Y116),FALSE))</f>
        <v/>
      </c>
      <c r="AD120" s="30" t="str">
        <f>IF(ISNA(VLOOKUP($A120,'Species Library'!$A$6:$Z$150,COLUMN('Species Library'!Z116),FALSE)), "",VLOOKUP($A120,'Species Library'!$A$6:$Z$150,COLUMN('Species Library'!Z116),FALSE))</f>
        <v/>
      </c>
    </row>
    <row r="121" spans="2:30" x14ac:dyDescent="0.4">
      <c r="B121" s="30" t="str">
        <f>IF(ISNA(VLOOKUP($A121,'Species Library'!$A$6:$Z$150,COLUMN('Species Library'!B117),FALSE)), "",VLOOKUP($A121,'Species Library'!$A$6:$Z$150,COLUMN('Species Library'!B117),FALSE))</f>
        <v/>
      </c>
      <c r="C121" s="30" t="str">
        <f>IF(ISNA(VLOOKUP($A121,'Species Library'!$A$6:$Z$150,COLUMN('Species Library'!C117),FALSE)), "",VLOOKUP($A121,'Species Library'!$A$6:$Z$150,COLUMN('Species Library'!C117),FALSE))</f>
        <v/>
      </c>
      <c r="D121" s="30" t="str">
        <f>IF(ISNA(VLOOKUP($A121,'Species Library'!$A$6:$Z$150,COLUMN('Species Library'!D117),FALSE)), "",VLOOKUP($A121,'Species Library'!$A$6:$Z$150,COLUMN('Species Library'!D117),FALSE))</f>
        <v/>
      </c>
      <c r="E121" s="30" t="str">
        <f>IF(ISNA(VLOOKUP($A121,'Species Library'!$A$6:$Z$150,COLUMN('Species Library'!E117),FALSE)), "",VLOOKUP($A121,'Species Library'!$A$6:$Z$150,COLUMN('Species Library'!E117),FALSE))</f>
        <v/>
      </c>
      <c r="F121" s="30" t="str">
        <f>IF(ISNA(VLOOKUP($A121,'Species Library'!$A$6:$Z$150,COLUMN('Species Library'!F117),FALSE)), "",VLOOKUP($A121,'Species Library'!$A$6:$Z$150,COLUMN('Species Library'!F117),FALSE))</f>
        <v/>
      </c>
      <c r="G121" s="30" t="str">
        <f t="shared" si="4"/>
        <v/>
      </c>
      <c r="H121" s="30" t="str">
        <f>IF(ISNA(VLOOKUP($A121,'Species Library'!$A$6:$Z$150,COLUMN('Species Library'!G117),FALSE)), "",VLOOKUP($A121,'Species Library'!$A$6:$Z$150,COLUMN('Species Library'!G117),FALSE))</f>
        <v/>
      </c>
      <c r="I121" s="30" t="str">
        <f>IF(ISNA(VLOOKUP($A121,'Species Library'!$A$6:$Z$150,COLUMN('Species Library'!H117),FALSE)), "",VLOOKUP($A121,'Species Library'!$A$6:$Z$150,COLUMN('Species Library'!H117),FALSE))</f>
        <v/>
      </c>
      <c r="J121" s="30" t="str">
        <f>IF(ISNA(VLOOKUP($A121,'Species Library'!$A$6:$Z$150,COLUMN('Species Library'!I117),FALSE)), "",VLOOKUP($A121,'Species Library'!$A$6:$Z$150,COLUMN('Species Library'!I117),FALSE))</f>
        <v/>
      </c>
      <c r="K121" s="30" t="str">
        <f>IF(ISNA(VLOOKUP($A121,'Species Library'!$A$6:$Z$150,COLUMN('Species Library'!J117),FALSE)), "",VLOOKUP($A121,'Species Library'!$A$6:$Z$150,COLUMN('Species Library'!J117),FALSE))</f>
        <v/>
      </c>
      <c r="L121" s="30" t="str">
        <f>IF(ISNA(VLOOKUP($A121,'Species Library'!$A$6:$Z$150,COLUMN('Species Library'!K117),FALSE)), "",VLOOKUP($A121,'Species Library'!$A$6:$Z$150,COLUMN('Species Library'!K117),FALSE))</f>
        <v/>
      </c>
      <c r="M121" s="30" t="str">
        <f t="shared" si="5"/>
        <v/>
      </c>
      <c r="N121" s="30" t="str">
        <f>IF(ISNA(VLOOKUP($A121,'Species Library'!$A$6:$Z$150,COLUMN('Species Library'!L117),FALSE)), "",VLOOKUP($A121,'Species Library'!$A$6:$Z$150,COLUMN('Species Library'!L117),FALSE))</f>
        <v/>
      </c>
      <c r="O121" s="30" t="str">
        <f>IF(ISNA(VLOOKUP($A121,'Species Library'!$A$6:$Z$150,COLUMN('Species Library'!M117),FALSE)), "",VLOOKUP($A121,'Species Library'!$A$6:$Z$150,COLUMN('Species Library'!M117),FALSE))</f>
        <v/>
      </c>
      <c r="P121" s="30" t="str">
        <f>IF(ISNA(VLOOKUP($A121,'Species Library'!$A$6:$Z$150,COLUMN('Species Library'!N117),FALSE)), "",VLOOKUP($A121,'Species Library'!$A$6:$Z$150,COLUMN('Species Library'!N117),FALSE))</f>
        <v/>
      </c>
      <c r="Q121" s="30" t="str">
        <f t="shared" si="6"/>
        <v/>
      </c>
      <c r="R121" s="30" t="str">
        <f>IF(ISNA(VLOOKUP($A121,'Species Library'!$A$6:$Z$150,COLUMN('Species Library'!O117),FALSE)), "",VLOOKUP($A121,'Species Library'!$A$6:$Z$150,COLUMN('Species Library'!O117),FALSE))</f>
        <v/>
      </c>
      <c r="S121" s="30" t="str">
        <f>IF(ISNA(VLOOKUP($A121,'Species Library'!$A$6:$Z$150,COLUMN('Species Library'!P117),FALSE)), "",VLOOKUP($A121,'Species Library'!$A$6:$Z$150,COLUMN('Species Library'!P117),FALSE))</f>
        <v/>
      </c>
      <c r="T121" s="30" t="str">
        <f>IF(ISNA(VLOOKUP($A121,'Species Library'!$A$6:$Z$150,COLUMN('Species Library'!Q117),FALSE)), "",VLOOKUP($A121,'Species Library'!$A$6:$Z$150,COLUMN('Species Library'!Q117),FALSE))</f>
        <v/>
      </c>
      <c r="U121" s="30" t="str">
        <f>IF(ISNA(VLOOKUP($A121,'Species Library'!$A$6:$Z$150,COLUMN('Species Library'!R117),FALSE)), "",VLOOKUP($A121,'Species Library'!$A$6:$Z$150,COLUMN('Species Library'!R117),FALSE))</f>
        <v/>
      </c>
      <c r="V121" s="30" t="str">
        <f>IF(ISNA(VLOOKUP($A121,'Species Library'!$A$6:$Z$150,COLUMN('Species Library'!S117),FALSE)), "",VLOOKUP($A121,'Species Library'!$A$6:$Z$150,COLUMN('Species Library'!S117),FALSE))</f>
        <v/>
      </c>
      <c r="W121" s="30" t="str">
        <f>IF(ISNA(VLOOKUP($A121,'Species Library'!$A$6:$Z$150,COLUMN('Species Library'!T117),FALSE)), "",VLOOKUP($A121,'Species Library'!$A$6:$Z$150,COLUMN('Species Library'!T117),FALSE))</f>
        <v/>
      </c>
      <c r="X121" s="30" t="str">
        <f t="shared" si="7"/>
        <v/>
      </c>
      <c r="Y121" s="30" t="str">
        <f>IF(ISNA(VLOOKUP($A121,'Species Library'!$A$6:$Z$150,COLUMN('Species Library'!U117),FALSE)), "",VLOOKUP($A121,'Species Library'!$A$6:$Z$150,COLUMN('Species Library'!U117),FALSE))</f>
        <v/>
      </c>
      <c r="Z121" s="30" t="str">
        <f>IF(ISNA(VLOOKUP($A121,'Species Library'!$A$6:$Z$150,COLUMN('Species Library'!V117),FALSE)), "",VLOOKUP($A121,'Species Library'!$A$6:$Z$150,COLUMN('Species Library'!V117),FALSE))</f>
        <v/>
      </c>
      <c r="AA121" s="30" t="str">
        <f>IF(ISNA(VLOOKUP($A121,'Species Library'!$A$6:$Z$150,COLUMN('Species Library'!W117),FALSE)), "",VLOOKUP($A121,'Species Library'!$A$6:$Z$150,COLUMN('Species Library'!W117),FALSE))</f>
        <v/>
      </c>
      <c r="AB121" s="30" t="str">
        <f>IF(ISNA(VLOOKUP($A121,'Species Library'!$A$6:$Z$150,COLUMN('Species Library'!X117),FALSE)), "",VLOOKUP($A121,'Species Library'!$A$6:$Z$150,COLUMN('Species Library'!X117),FALSE))</f>
        <v/>
      </c>
      <c r="AC121" s="30" t="str">
        <f>IF(ISNA(VLOOKUP($A121,'Species Library'!$A$6:$Z$150,COLUMN('Species Library'!Y117),FALSE)), "",VLOOKUP($A121,'Species Library'!$A$6:$Z$150,COLUMN('Species Library'!Y117),FALSE))</f>
        <v/>
      </c>
      <c r="AD121" s="30" t="str">
        <f>IF(ISNA(VLOOKUP($A121,'Species Library'!$A$6:$Z$150,COLUMN('Species Library'!Z117),FALSE)), "",VLOOKUP($A121,'Species Library'!$A$6:$Z$150,COLUMN('Species Library'!Z117),FALSE))</f>
        <v/>
      </c>
    </row>
    <row r="122" spans="2:30" x14ac:dyDescent="0.4">
      <c r="B122" s="30" t="str">
        <f>IF(ISNA(VLOOKUP($A122,'Species Library'!$A$6:$Z$150,COLUMN('Species Library'!B118),FALSE)), "",VLOOKUP($A122,'Species Library'!$A$6:$Z$150,COLUMN('Species Library'!B118),FALSE))</f>
        <v/>
      </c>
      <c r="C122" s="30" t="str">
        <f>IF(ISNA(VLOOKUP($A122,'Species Library'!$A$6:$Z$150,COLUMN('Species Library'!C118),FALSE)), "",VLOOKUP($A122,'Species Library'!$A$6:$Z$150,COLUMN('Species Library'!C118),FALSE))</f>
        <v/>
      </c>
      <c r="D122" s="30" t="str">
        <f>IF(ISNA(VLOOKUP($A122,'Species Library'!$A$6:$Z$150,COLUMN('Species Library'!D118),FALSE)), "",VLOOKUP($A122,'Species Library'!$A$6:$Z$150,COLUMN('Species Library'!D118),FALSE))</f>
        <v/>
      </c>
      <c r="E122" s="30" t="str">
        <f>IF(ISNA(VLOOKUP($A122,'Species Library'!$A$6:$Z$150,COLUMN('Species Library'!E118),FALSE)), "",VLOOKUP($A122,'Species Library'!$A$6:$Z$150,COLUMN('Species Library'!E118),FALSE))</f>
        <v/>
      </c>
      <c r="F122" s="30" t="str">
        <f>IF(ISNA(VLOOKUP($A122,'Species Library'!$A$6:$Z$150,COLUMN('Species Library'!F118),FALSE)), "",VLOOKUP($A122,'Species Library'!$A$6:$Z$150,COLUMN('Species Library'!F118),FALSE))</f>
        <v/>
      </c>
      <c r="G122" s="30" t="str">
        <f t="shared" si="4"/>
        <v/>
      </c>
      <c r="H122" s="30" t="str">
        <f>IF(ISNA(VLOOKUP($A122,'Species Library'!$A$6:$Z$150,COLUMN('Species Library'!G118),FALSE)), "",VLOOKUP($A122,'Species Library'!$A$6:$Z$150,COLUMN('Species Library'!G118),FALSE))</f>
        <v/>
      </c>
      <c r="I122" s="30" t="str">
        <f>IF(ISNA(VLOOKUP($A122,'Species Library'!$A$6:$Z$150,COLUMN('Species Library'!H118),FALSE)), "",VLOOKUP($A122,'Species Library'!$A$6:$Z$150,COLUMN('Species Library'!H118),FALSE))</f>
        <v/>
      </c>
      <c r="J122" s="30" t="str">
        <f>IF(ISNA(VLOOKUP($A122,'Species Library'!$A$6:$Z$150,COLUMN('Species Library'!I118),FALSE)), "",VLOOKUP($A122,'Species Library'!$A$6:$Z$150,COLUMN('Species Library'!I118),FALSE))</f>
        <v/>
      </c>
      <c r="K122" s="30" t="str">
        <f>IF(ISNA(VLOOKUP($A122,'Species Library'!$A$6:$Z$150,COLUMN('Species Library'!J118),FALSE)), "",VLOOKUP($A122,'Species Library'!$A$6:$Z$150,COLUMN('Species Library'!J118),FALSE))</f>
        <v/>
      </c>
      <c r="L122" s="30" t="str">
        <f>IF(ISNA(VLOOKUP($A122,'Species Library'!$A$6:$Z$150,COLUMN('Species Library'!K118),FALSE)), "",VLOOKUP($A122,'Species Library'!$A$6:$Z$150,COLUMN('Species Library'!K118),FALSE))</f>
        <v/>
      </c>
      <c r="M122" s="30" t="str">
        <f t="shared" si="5"/>
        <v/>
      </c>
      <c r="N122" s="30" t="str">
        <f>IF(ISNA(VLOOKUP($A122,'Species Library'!$A$6:$Z$150,COLUMN('Species Library'!L118),FALSE)), "",VLOOKUP($A122,'Species Library'!$A$6:$Z$150,COLUMN('Species Library'!L118),FALSE))</f>
        <v/>
      </c>
      <c r="O122" s="30" t="str">
        <f>IF(ISNA(VLOOKUP($A122,'Species Library'!$A$6:$Z$150,COLUMN('Species Library'!M118),FALSE)), "",VLOOKUP($A122,'Species Library'!$A$6:$Z$150,COLUMN('Species Library'!M118),FALSE))</f>
        <v/>
      </c>
      <c r="P122" s="30" t="str">
        <f>IF(ISNA(VLOOKUP($A122,'Species Library'!$A$6:$Z$150,COLUMN('Species Library'!N118),FALSE)), "",VLOOKUP($A122,'Species Library'!$A$6:$Z$150,COLUMN('Species Library'!N118),FALSE))</f>
        <v/>
      </c>
      <c r="Q122" s="30" t="str">
        <f t="shared" si="6"/>
        <v/>
      </c>
      <c r="R122" s="30" t="str">
        <f>IF(ISNA(VLOOKUP($A122,'Species Library'!$A$6:$Z$150,COLUMN('Species Library'!O118),FALSE)), "",VLOOKUP($A122,'Species Library'!$A$6:$Z$150,COLUMN('Species Library'!O118),FALSE))</f>
        <v/>
      </c>
      <c r="S122" s="30" t="str">
        <f>IF(ISNA(VLOOKUP($A122,'Species Library'!$A$6:$Z$150,COLUMN('Species Library'!P118),FALSE)), "",VLOOKUP($A122,'Species Library'!$A$6:$Z$150,COLUMN('Species Library'!P118),FALSE))</f>
        <v/>
      </c>
      <c r="T122" s="30" t="str">
        <f>IF(ISNA(VLOOKUP($A122,'Species Library'!$A$6:$Z$150,COLUMN('Species Library'!Q118),FALSE)), "",VLOOKUP($A122,'Species Library'!$A$6:$Z$150,COLUMN('Species Library'!Q118),FALSE))</f>
        <v/>
      </c>
      <c r="U122" s="30" t="str">
        <f>IF(ISNA(VLOOKUP($A122,'Species Library'!$A$6:$Z$150,COLUMN('Species Library'!R118),FALSE)), "",VLOOKUP($A122,'Species Library'!$A$6:$Z$150,COLUMN('Species Library'!R118),FALSE))</f>
        <v/>
      </c>
      <c r="V122" s="30" t="str">
        <f>IF(ISNA(VLOOKUP($A122,'Species Library'!$A$6:$Z$150,COLUMN('Species Library'!S118),FALSE)), "",VLOOKUP($A122,'Species Library'!$A$6:$Z$150,COLUMN('Species Library'!S118),FALSE))</f>
        <v/>
      </c>
      <c r="W122" s="30" t="str">
        <f>IF(ISNA(VLOOKUP($A122,'Species Library'!$A$6:$Z$150,COLUMN('Species Library'!T118),FALSE)), "",VLOOKUP($A122,'Species Library'!$A$6:$Z$150,COLUMN('Species Library'!T118),FALSE))</f>
        <v/>
      </c>
      <c r="X122" s="30" t="str">
        <f t="shared" si="7"/>
        <v/>
      </c>
      <c r="Y122" s="30" t="str">
        <f>IF(ISNA(VLOOKUP($A122,'Species Library'!$A$6:$Z$150,COLUMN('Species Library'!U118),FALSE)), "",VLOOKUP($A122,'Species Library'!$A$6:$Z$150,COLUMN('Species Library'!U118),FALSE))</f>
        <v/>
      </c>
      <c r="Z122" s="30" t="str">
        <f>IF(ISNA(VLOOKUP($A122,'Species Library'!$A$6:$Z$150,COLUMN('Species Library'!V118),FALSE)), "",VLOOKUP($A122,'Species Library'!$A$6:$Z$150,COLUMN('Species Library'!V118),FALSE))</f>
        <v/>
      </c>
      <c r="AA122" s="30" t="str">
        <f>IF(ISNA(VLOOKUP($A122,'Species Library'!$A$6:$Z$150,COLUMN('Species Library'!W118),FALSE)), "",VLOOKUP($A122,'Species Library'!$A$6:$Z$150,COLUMN('Species Library'!W118),FALSE))</f>
        <v/>
      </c>
      <c r="AB122" s="30" t="str">
        <f>IF(ISNA(VLOOKUP($A122,'Species Library'!$A$6:$Z$150,COLUMN('Species Library'!X118),FALSE)), "",VLOOKUP($A122,'Species Library'!$A$6:$Z$150,COLUMN('Species Library'!X118),FALSE))</f>
        <v/>
      </c>
      <c r="AC122" s="30" t="str">
        <f>IF(ISNA(VLOOKUP($A122,'Species Library'!$A$6:$Z$150,COLUMN('Species Library'!Y118),FALSE)), "",VLOOKUP($A122,'Species Library'!$A$6:$Z$150,COLUMN('Species Library'!Y118),FALSE))</f>
        <v/>
      </c>
      <c r="AD122" s="30" t="str">
        <f>IF(ISNA(VLOOKUP($A122,'Species Library'!$A$6:$Z$150,COLUMN('Species Library'!Z118),FALSE)), "",VLOOKUP($A122,'Species Library'!$A$6:$Z$150,COLUMN('Species Library'!Z118),FALSE))</f>
        <v/>
      </c>
    </row>
    <row r="123" spans="2:30" x14ac:dyDescent="0.4">
      <c r="B123" s="30" t="str">
        <f>IF(ISNA(VLOOKUP($A123,'Species Library'!$A$6:$Z$150,COLUMN('Species Library'!B119),FALSE)), "",VLOOKUP($A123,'Species Library'!$A$6:$Z$150,COLUMN('Species Library'!B119),FALSE))</f>
        <v/>
      </c>
      <c r="C123" s="30" t="str">
        <f>IF(ISNA(VLOOKUP($A123,'Species Library'!$A$6:$Z$150,COLUMN('Species Library'!C119),FALSE)), "",VLOOKUP($A123,'Species Library'!$A$6:$Z$150,COLUMN('Species Library'!C119),FALSE))</f>
        <v/>
      </c>
      <c r="D123" s="30" t="str">
        <f>IF(ISNA(VLOOKUP($A123,'Species Library'!$A$6:$Z$150,COLUMN('Species Library'!D119),FALSE)), "",VLOOKUP($A123,'Species Library'!$A$6:$Z$150,COLUMN('Species Library'!D119),FALSE))</f>
        <v/>
      </c>
      <c r="E123" s="30" t="str">
        <f>IF(ISNA(VLOOKUP($A123,'Species Library'!$A$6:$Z$150,COLUMN('Species Library'!E119),FALSE)), "",VLOOKUP($A123,'Species Library'!$A$6:$Z$150,COLUMN('Species Library'!E119),FALSE))</f>
        <v/>
      </c>
      <c r="F123" s="30" t="str">
        <f>IF(ISNA(VLOOKUP($A123,'Species Library'!$A$6:$Z$150,COLUMN('Species Library'!F119),FALSE)), "",VLOOKUP($A123,'Species Library'!$A$6:$Z$150,COLUMN('Species Library'!F119),FALSE))</f>
        <v/>
      </c>
      <c r="G123" s="30" t="str">
        <f t="shared" si="4"/>
        <v/>
      </c>
      <c r="H123" s="30" t="str">
        <f>IF(ISNA(VLOOKUP($A123,'Species Library'!$A$6:$Z$150,COLUMN('Species Library'!G119),FALSE)), "",VLOOKUP($A123,'Species Library'!$A$6:$Z$150,COLUMN('Species Library'!G119),FALSE))</f>
        <v/>
      </c>
      <c r="I123" s="30" t="str">
        <f>IF(ISNA(VLOOKUP($A123,'Species Library'!$A$6:$Z$150,COLUMN('Species Library'!H119),FALSE)), "",VLOOKUP($A123,'Species Library'!$A$6:$Z$150,COLUMN('Species Library'!H119),FALSE))</f>
        <v/>
      </c>
      <c r="J123" s="30" t="str">
        <f>IF(ISNA(VLOOKUP($A123,'Species Library'!$A$6:$Z$150,COLUMN('Species Library'!I119),FALSE)), "",VLOOKUP($A123,'Species Library'!$A$6:$Z$150,COLUMN('Species Library'!I119),FALSE))</f>
        <v/>
      </c>
      <c r="K123" s="30" t="str">
        <f>IF(ISNA(VLOOKUP($A123,'Species Library'!$A$6:$Z$150,COLUMN('Species Library'!J119),FALSE)), "",VLOOKUP($A123,'Species Library'!$A$6:$Z$150,COLUMN('Species Library'!J119),FALSE))</f>
        <v/>
      </c>
      <c r="L123" s="30" t="str">
        <f>IF(ISNA(VLOOKUP($A123,'Species Library'!$A$6:$Z$150,COLUMN('Species Library'!K119),FALSE)), "",VLOOKUP($A123,'Species Library'!$A$6:$Z$150,COLUMN('Species Library'!K119),FALSE))</f>
        <v/>
      </c>
      <c r="M123" s="30" t="str">
        <f t="shared" si="5"/>
        <v/>
      </c>
      <c r="N123" s="30" t="str">
        <f>IF(ISNA(VLOOKUP($A123,'Species Library'!$A$6:$Z$150,COLUMN('Species Library'!L119),FALSE)), "",VLOOKUP($A123,'Species Library'!$A$6:$Z$150,COLUMN('Species Library'!L119),FALSE))</f>
        <v/>
      </c>
      <c r="O123" s="30" t="str">
        <f>IF(ISNA(VLOOKUP($A123,'Species Library'!$A$6:$Z$150,COLUMN('Species Library'!M119),FALSE)), "",VLOOKUP($A123,'Species Library'!$A$6:$Z$150,COLUMN('Species Library'!M119),FALSE))</f>
        <v/>
      </c>
      <c r="P123" s="30" t="str">
        <f>IF(ISNA(VLOOKUP($A123,'Species Library'!$A$6:$Z$150,COLUMN('Species Library'!N119),FALSE)), "",VLOOKUP($A123,'Species Library'!$A$6:$Z$150,COLUMN('Species Library'!N119),FALSE))</f>
        <v/>
      </c>
      <c r="Q123" s="30" t="str">
        <f t="shared" si="6"/>
        <v/>
      </c>
      <c r="R123" s="30" t="str">
        <f>IF(ISNA(VLOOKUP($A123,'Species Library'!$A$6:$Z$150,COLUMN('Species Library'!O119),FALSE)), "",VLOOKUP($A123,'Species Library'!$A$6:$Z$150,COLUMN('Species Library'!O119),FALSE))</f>
        <v/>
      </c>
      <c r="S123" s="30" t="str">
        <f>IF(ISNA(VLOOKUP($A123,'Species Library'!$A$6:$Z$150,COLUMN('Species Library'!P119),FALSE)), "",VLOOKUP($A123,'Species Library'!$A$6:$Z$150,COLUMN('Species Library'!P119),FALSE))</f>
        <v/>
      </c>
      <c r="T123" s="30" t="str">
        <f>IF(ISNA(VLOOKUP($A123,'Species Library'!$A$6:$Z$150,COLUMN('Species Library'!Q119),FALSE)), "",VLOOKUP($A123,'Species Library'!$A$6:$Z$150,COLUMN('Species Library'!Q119),FALSE))</f>
        <v/>
      </c>
      <c r="U123" s="30" t="str">
        <f>IF(ISNA(VLOOKUP($A123,'Species Library'!$A$6:$Z$150,COLUMN('Species Library'!R119),FALSE)), "",VLOOKUP($A123,'Species Library'!$A$6:$Z$150,COLUMN('Species Library'!R119),FALSE))</f>
        <v/>
      </c>
      <c r="V123" s="30" t="str">
        <f>IF(ISNA(VLOOKUP($A123,'Species Library'!$A$6:$Z$150,COLUMN('Species Library'!S119),FALSE)), "",VLOOKUP($A123,'Species Library'!$A$6:$Z$150,COLUMN('Species Library'!S119),FALSE))</f>
        <v/>
      </c>
      <c r="W123" s="30" t="str">
        <f>IF(ISNA(VLOOKUP($A123,'Species Library'!$A$6:$Z$150,COLUMN('Species Library'!T119),FALSE)), "",VLOOKUP($A123,'Species Library'!$A$6:$Z$150,COLUMN('Species Library'!T119),FALSE))</f>
        <v/>
      </c>
      <c r="X123" s="30" t="str">
        <f t="shared" si="7"/>
        <v/>
      </c>
      <c r="Y123" s="30" t="str">
        <f>IF(ISNA(VLOOKUP($A123,'Species Library'!$A$6:$Z$150,COLUMN('Species Library'!U119),FALSE)), "",VLOOKUP($A123,'Species Library'!$A$6:$Z$150,COLUMN('Species Library'!U119),FALSE))</f>
        <v/>
      </c>
      <c r="Z123" s="30" t="str">
        <f>IF(ISNA(VLOOKUP($A123,'Species Library'!$A$6:$Z$150,COLUMN('Species Library'!V119),FALSE)), "",VLOOKUP($A123,'Species Library'!$A$6:$Z$150,COLUMN('Species Library'!V119),FALSE))</f>
        <v/>
      </c>
      <c r="AA123" s="30" t="str">
        <f>IF(ISNA(VLOOKUP($A123,'Species Library'!$A$6:$Z$150,COLUMN('Species Library'!W119),FALSE)), "",VLOOKUP($A123,'Species Library'!$A$6:$Z$150,COLUMN('Species Library'!W119),FALSE))</f>
        <v/>
      </c>
      <c r="AB123" s="30" t="str">
        <f>IF(ISNA(VLOOKUP($A123,'Species Library'!$A$6:$Z$150,COLUMN('Species Library'!X119),FALSE)), "",VLOOKUP($A123,'Species Library'!$A$6:$Z$150,COLUMN('Species Library'!X119),FALSE))</f>
        <v/>
      </c>
      <c r="AC123" s="30" t="str">
        <f>IF(ISNA(VLOOKUP($A123,'Species Library'!$A$6:$Z$150,COLUMN('Species Library'!Y119),FALSE)), "",VLOOKUP($A123,'Species Library'!$A$6:$Z$150,COLUMN('Species Library'!Y119),FALSE))</f>
        <v/>
      </c>
      <c r="AD123" s="30" t="str">
        <f>IF(ISNA(VLOOKUP($A123,'Species Library'!$A$6:$Z$150,COLUMN('Species Library'!Z119),FALSE)), "",VLOOKUP($A123,'Species Library'!$A$6:$Z$150,COLUMN('Species Library'!Z119),FALSE))</f>
        <v/>
      </c>
    </row>
    <row r="124" spans="2:30" x14ac:dyDescent="0.4">
      <c r="B124" s="30" t="str">
        <f>IF(ISNA(VLOOKUP($A124,'Species Library'!$A$6:$Z$150,COLUMN('Species Library'!B120),FALSE)), "",VLOOKUP($A124,'Species Library'!$A$6:$Z$150,COLUMN('Species Library'!B120),FALSE))</f>
        <v/>
      </c>
      <c r="C124" s="30" t="str">
        <f>IF(ISNA(VLOOKUP($A124,'Species Library'!$A$6:$Z$150,COLUMN('Species Library'!C120),FALSE)), "",VLOOKUP($A124,'Species Library'!$A$6:$Z$150,COLUMN('Species Library'!C120),FALSE))</f>
        <v/>
      </c>
      <c r="D124" s="30" t="str">
        <f>IF(ISNA(VLOOKUP($A124,'Species Library'!$A$6:$Z$150,COLUMN('Species Library'!D120),FALSE)), "",VLOOKUP($A124,'Species Library'!$A$6:$Z$150,COLUMN('Species Library'!D120),FALSE))</f>
        <v/>
      </c>
      <c r="E124" s="30" t="str">
        <f>IF(ISNA(VLOOKUP($A124,'Species Library'!$A$6:$Z$150,COLUMN('Species Library'!E120),FALSE)), "",VLOOKUP($A124,'Species Library'!$A$6:$Z$150,COLUMN('Species Library'!E120),FALSE))</f>
        <v/>
      </c>
      <c r="F124" s="30" t="str">
        <f>IF(ISNA(VLOOKUP($A124,'Species Library'!$A$6:$Z$150,COLUMN('Species Library'!F120),FALSE)), "",VLOOKUP($A124,'Species Library'!$A$6:$Z$150,COLUMN('Species Library'!F120),FALSE))</f>
        <v/>
      </c>
      <c r="G124" s="30" t="str">
        <f t="shared" si="4"/>
        <v/>
      </c>
      <c r="H124" s="30" t="str">
        <f>IF(ISNA(VLOOKUP($A124,'Species Library'!$A$6:$Z$150,COLUMN('Species Library'!G120),FALSE)), "",VLOOKUP($A124,'Species Library'!$A$6:$Z$150,COLUMN('Species Library'!G120),FALSE))</f>
        <v/>
      </c>
      <c r="I124" s="30" t="str">
        <f>IF(ISNA(VLOOKUP($A124,'Species Library'!$A$6:$Z$150,COLUMN('Species Library'!H120),FALSE)), "",VLOOKUP($A124,'Species Library'!$A$6:$Z$150,COLUMN('Species Library'!H120),FALSE))</f>
        <v/>
      </c>
      <c r="J124" s="30" t="str">
        <f>IF(ISNA(VLOOKUP($A124,'Species Library'!$A$6:$Z$150,COLUMN('Species Library'!I120),FALSE)), "",VLOOKUP($A124,'Species Library'!$A$6:$Z$150,COLUMN('Species Library'!I120),FALSE))</f>
        <v/>
      </c>
      <c r="K124" s="30" t="str">
        <f>IF(ISNA(VLOOKUP($A124,'Species Library'!$A$6:$Z$150,COLUMN('Species Library'!J120),FALSE)), "",VLOOKUP($A124,'Species Library'!$A$6:$Z$150,COLUMN('Species Library'!J120),FALSE))</f>
        <v/>
      </c>
      <c r="L124" s="30" t="str">
        <f>IF(ISNA(VLOOKUP($A124,'Species Library'!$A$6:$Z$150,COLUMN('Species Library'!K120),FALSE)), "",VLOOKUP($A124,'Species Library'!$A$6:$Z$150,COLUMN('Species Library'!K120),FALSE))</f>
        <v/>
      </c>
      <c r="M124" s="30" t="str">
        <f t="shared" si="5"/>
        <v/>
      </c>
      <c r="N124" s="30" t="str">
        <f>IF(ISNA(VLOOKUP($A124,'Species Library'!$A$6:$Z$150,COLUMN('Species Library'!L120),FALSE)), "",VLOOKUP($A124,'Species Library'!$A$6:$Z$150,COLUMN('Species Library'!L120),FALSE))</f>
        <v/>
      </c>
      <c r="O124" s="30" t="str">
        <f>IF(ISNA(VLOOKUP($A124,'Species Library'!$A$6:$Z$150,COLUMN('Species Library'!M120),FALSE)), "",VLOOKUP($A124,'Species Library'!$A$6:$Z$150,COLUMN('Species Library'!M120),FALSE))</f>
        <v/>
      </c>
      <c r="P124" s="30" t="str">
        <f>IF(ISNA(VLOOKUP($A124,'Species Library'!$A$6:$Z$150,COLUMN('Species Library'!N120),FALSE)), "",VLOOKUP($A124,'Species Library'!$A$6:$Z$150,COLUMN('Species Library'!N120),FALSE))</f>
        <v/>
      </c>
      <c r="Q124" s="30" t="str">
        <f t="shared" si="6"/>
        <v/>
      </c>
      <c r="R124" s="30" t="str">
        <f>IF(ISNA(VLOOKUP($A124,'Species Library'!$A$6:$Z$150,COLUMN('Species Library'!O120),FALSE)), "",VLOOKUP($A124,'Species Library'!$A$6:$Z$150,COLUMN('Species Library'!O120),FALSE))</f>
        <v/>
      </c>
      <c r="S124" s="30" t="str">
        <f>IF(ISNA(VLOOKUP($A124,'Species Library'!$A$6:$Z$150,COLUMN('Species Library'!P120),FALSE)), "",VLOOKUP($A124,'Species Library'!$A$6:$Z$150,COLUMN('Species Library'!P120),FALSE))</f>
        <v/>
      </c>
      <c r="T124" s="30" t="str">
        <f>IF(ISNA(VLOOKUP($A124,'Species Library'!$A$6:$Z$150,COLUMN('Species Library'!Q120),FALSE)), "",VLOOKUP($A124,'Species Library'!$A$6:$Z$150,COLUMN('Species Library'!Q120),FALSE))</f>
        <v/>
      </c>
      <c r="U124" s="30" t="str">
        <f>IF(ISNA(VLOOKUP($A124,'Species Library'!$A$6:$Z$150,COLUMN('Species Library'!R120),FALSE)), "",VLOOKUP($A124,'Species Library'!$A$6:$Z$150,COLUMN('Species Library'!R120),FALSE))</f>
        <v/>
      </c>
      <c r="V124" s="30" t="str">
        <f>IF(ISNA(VLOOKUP($A124,'Species Library'!$A$6:$Z$150,COLUMN('Species Library'!S120),FALSE)), "",VLOOKUP($A124,'Species Library'!$A$6:$Z$150,COLUMN('Species Library'!S120),FALSE))</f>
        <v/>
      </c>
      <c r="W124" s="30" t="str">
        <f>IF(ISNA(VLOOKUP($A124,'Species Library'!$A$6:$Z$150,COLUMN('Species Library'!T120),FALSE)), "",VLOOKUP($A124,'Species Library'!$A$6:$Z$150,COLUMN('Species Library'!T120),FALSE))</f>
        <v/>
      </c>
      <c r="X124" s="30" t="str">
        <f t="shared" si="7"/>
        <v/>
      </c>
      <c r="Y124" s="30" t="str">
        <f>IF(ISNA(VLOOKUP($A124,'Species Library'!$A$6:$Z$150,COLUMN('Species Library'!U120),FALSE)), "",VLOOKUP($A124,'Species Library'!$A$6:$Z$150,COLUMN('Species Library'!U120),FALSE))</f>
        <v/>
      </c>
      <c r="Z124" s="30" t="str">
        <f>IF(ISNA(VLOOKUP($A124,'Species Library'!$A$6:$Z$150,COLUMN('Species Library'!V120),FALSE)), "",VLOOKUP($A124,'Species Library'!$A$6:$Z$150,COLUMN('Species Library'!V120),FALSE))</f>
        <v/>
      </c>
      <c r="AA124" s="30" t="str">
        <f>IF(ISNA(VLOOKUP($A124,'Species Library'!$A$6:$Z$150,COLUMN('Species Library'!W120),FALSE)), "",VLOOKUP($A124,'Species Library'!$A$6:$Z$150,COLUMN('Species Library'!W120),FALSE))</f>
        <v/>
      </c>
      <c r="AB124" s="30" t="str">
        <f>IF(ISNA(VLOOKUP($A124,'Species Library'!$A$6:$Z$150,COLUMN('Species Library'!X120),FALSE)), "",VLOOKUP($A124,'Species Library'!$A$6:$Z$150,COLUMN('Species Library'!X120),FALSE))</f>
        <v/>
      </c>
      <c r="AC124" s="30" t="str">
        <f>IF(ISNA(VLOOKUP($A124,'Species Library'!$A$6:$Z$150,COLUMN('Species Library'!Y120),FALSE)), "",VLOOKUP($A124,'Species Library'!$A$6:$Z$150,COLUMN('Species Library'!Y120),FALSE))</f>
        <v/>
      </c>
      <c r="AD124" s="30" t="str">
        <f>IF(ISNA(VLOOKUP($A124,'Species Library'!$A$6:$Z$150,COLUMN('Species Library'!Z120),FALSE)), "",VLOOKUP($A124,'Species Library'!$A$6:$Z$150,COLUMN('Species Library'!Z120),FALSE))</f>
        <v/>
      </c>
    </row>
    <row r="125" spans="2:30" x14ac:dyDescent="0.4">
      <c r="B125" s="30" t="str">
        <f>IF(ISNA(VLOOKUP($A125,'Species Library'!$A$6:$Z$150,COLUMN('Species Library'!B121),FALSE)), "",VLOOKUP($A125,'Species Library'!$A$6:$Z$150,COLUMN('Species Library'!B121),FALSE))</f>
        <v/>
      </c>
      <c r="C125" s="30" t="str">
        <f>IF(ISNA(VLOOKUP($A125,'Species Library'!$A$6:$Z$150,COLUMN('Species Library'!C121),FALSE)), "",VLOOKUP($A125,'Species Library'!$A$6:$Z$150,COLUMN('Species Library'!C121),FALSE))</f>
        <v/>
      </c>
      <c r="D125" s="30" t="str">
        <f>IF(ISNA(VLOOKUP($A125,'Species Library'!$A$6:$Z$150,COLUMN('Species Library'!D121),FALSE)), "",VLOOKUP($A125,'Species Library'!$A$6:$Z$150,COLUMN('Species Library'!D121),FALSE))</f>
        <v/>
      </c>
      <c r="E125" s="30" t="str">
        <f>IF(ISNA(VLOOKUP($A125,'Species Library'!$A$6:$Z$150,COLUMN('Species Library'!E121),FALSE)), "",VLOOKUP($A125,'Species Library'!$A$6:$Z$150,COLUMN('Species Library'!E121),FALSE))</f>
        <v/>
      </c>
      <c r="F125" s="30" t="str">
        <f>IF(ISNA(VLOOKUP($A125,'Species Library'!$A$6:$Z$150,COLUMN('Species Library'!F121),FALSE)), "",VLOOKUP($A125,'Species Library'!$A$6:$Z$150,COLUMN('Species Library'!F121),FALSE))</f>
        <v/>
      </c>
      <c r="G125" s="30" t="str">
        <f t="shared" si="4"/>
        <v/>
      </c>
      <c r="H125" s="30" t="str">
        <f>IF(ISNA(VLOOKUP($A125,'Species Library'!$A$6:$Z$150,COLUMN('Species Library'!G121),FALSE)), "",VLOOKUP($A125,'Species Library'!$A$6:$Z$150,COLUMN('Species Library'!G121),FALSE))</f>
        <v/>
      </c>
      <c r="I125" s="30" t="str">
        <f>IF(ISNA(VLOOKUP($A125,'Species Library'!$A$6:$Z$150,COLUMN('Species Library'!H121),FALSE)), "",VLOOKUP($A125,'Species Library'!$A$6:$Z$150,COLUMN('Species Library'!H121),FALSE))</f>
        <v/>
      </c>
      <c r="J125" s="30" t="str">
        <f>IF(ISNA(VLOOKUP($A125,'Species Library'!$A$6:$Z$150,COLUMN('Species Library'!I121),FALSE)), "",VLOOKUP($A125,'Species Library'!$A$6:$Z$150,COLUMN('Species Library'!I121),FALSE))</f>
        <v/>
      </c>
      <c r="K125" s="30" t="str">
        <f>IF(ISNA(VLOOKUP($A125,'Species Library'!$A$6:$Z$150,COLUMN('Species Library'!J121),FALSE)), "",VLOOKUP($A125,'Species Library'!$A$6:$Z$150,COLUMN('Species Library'!J121),FALSE))</f>
        <v/>
      </c>
      <c r="L125" s="30" t="str">
        <f>IF(ISNA(VLOOKUP($A125,'Species Library'!$A$6:$Z$150,COLUMN('Species Library'!K121),FALSE)), "",VLOOKUP($A125,'Species Library'!$A$6:$Z$150,COLUMN('Species Library'!K121),FALSE))</f>
        <v/>
      </c>
      <c r="M125" s="30" t="str">
        <f t="shared" si="5"/>
        <v/>
      </c>
      <c r="N125" s="30" t="str">
        <f>IF(ISNA(VLOOKUP($A125,'Species Library'!$A$6:$Z$150,COLUMN('Species Library'!L121),FALSE)), "",VLOOKUP($A125,'Species Library'!$A$6:$Z$150,COLUMN('Species Library'!L121),FALSE))</f>
        <v/>
      </c>
      <c r="O125" s="30" t="str">
        <f>IF(ISNA(VLOOKUP($A125,'Species Library'!$A$6:$Z$150,COLUMN('Species Library'!M121),FALSE)), "",VLOOKUP($A125,'Species Library'!$A$6:$Z$150,COLUMN('Species Library'!M121),FALSE))</f>
        <v/>
      </c>
      <c r="P125" s="30" t="str">
        <f>IF(ISNA(VLOOKUP($A125,'Species Library'!$A$6:$Z$150,COLUMN('Species Library'!N121),FALSE)), "",VLOOKUP($A125,'Species Library'!$A$6:$Z$150,COLUMN('Species Library'!N121),FALSE))</f>
        <v/>
      </c>
      <c r="Q125" s="30" t="str">
        <f t="shared" si="6"/>
        <v/>
      </c>
      <c r="R125" s="30" t="str">
        <f>IF(ISNA(VLOOKUP($A125,'Species Library'!$A$6:$Z$150,COLUMN('Species Library'!O121),FALSE)), "",VLOOKUP($A125,'Species Library'!$A$6:$Z$150,COLUMN('Species Library'!O121),FALSE))</f>
        <v/>
      </c>
      <c r="S125" s="30" t="str">
        <f>IF(ISNA(VLOOKUP($A125,'Species Library'!$A$6:$Z$150,COLUMN('Species Library'!P121),FALSE)), "",VLOOKUP($A125,'Species Library'!$A$6:$Z$150,COLUMN('Species Library'!P121),FALSE))</f>
        <v/>
      </c>
      <c r="T125" s="30" t="str">
        <f>IF(ISNA(VLOOKUP($A125,'Species Library'!$A$6:$Z$150,COLUMN('Species Library'!Q121),FALSE)), "",VLOOKUP($A125,'Species Library'!$A$6:$Z$150,COLUMN('Species Library'!Q121),FALSE))</f>
        <v/>
      </c>
      <c r="U125" s="30" t="str">
        <f>IF(ISNA(VLOOKUP($A125,'Species Library'!$A$6:$Z$150,COLUMN('Species Library'!R121),FALSE)), "",VLOOKUP($A125,'Species Library'!$A$6:$Z$150,COLUMN('Species Library'!R121),FALSE))</f>
        <v/>
      </c>
      <c r="V125" s="30" t="str">
        <f>IF(ISNA(VLOOKUP($A125,'Species Library'!$A$6:$Z$150,COLUMN('Species Library'!S121),FALSE)), "",VLOOKUP($A125,'Species Library'!$A$6:$Z$150,COLUMN('Species Library'!S121),FALSE))</f>
        <v/>
      </c>
      <c r="W125" s="30" t="str">
        <f>IF(ISNA(VLOOKUP($A125,'Species Library'!$A$6:$Z$150,COLUMN('Species Library'!T121),FALSE)), "",VLOOKUP($A125,'Species Library'!$A$6:$Z$150,COLUMN('Species Library'!T121),FALSE))</f>
        <v/>
      </c>
      <c r="X125" s="30" t="str">
        <f t="shared" si="7"/>
        <v/>
      </c>
      <c r="Y125" s="30" t="str">
        <f>IF(ISNA(VLOOKUP($A125,'Species Library'!$A$6:$Z$150,COLUMN('Species Library'!U121),FALSE)), "",VLOOKUP($A125,'Species Library'!$A$6:$Z$150,COLUMN('Species Library'!U121),FALSE))</f>
        <v/>
      </c>
      <c r="Z125" s="30" t="str">
        <f>IF(ISNA(VLOOKUP($A125,'Species Library'!$A$6:$Z$150,COLUMN('Species Library'!V121),FALSE)), "",VLOOKUP($A125,'Species Library'!$A$6:$Z$150,COLUMN('Species Library'!V121),FALSE))</f>
        <v/>
      </c>
      <c r="AA125" s="30" t="str">
        <f>IF(ISNA(VLOOKUP($A125,'Species Library'!$A$6:$Z$150,COLUMN('Species Library'!W121),FALSE)), "",VLOOKUP($A125,'Species Library'!$A$6:$Z$150,COLUMN('Species Library'!W121),FALSE))</f>
        <v/>
      </c>
      <c r="AB125" s="30" t="str">
        <f>IF(ISNA(VLOOKUP($A125,'Species Library'!$A$6:$Z$150,COLUMN('Species Library'!X121),FALSE)), "",VLOOKUP($A125,'Species Library'!$A$6:$Z$150,COLUMN('Species Library'!X121),FALSE))</f>
        <v/>
      </c>
      <c r="AC125" s="30" t="str">
        <f>IF(ISNA(VLOOKUP($A125,'Species Library'!$A$6:$Z$150,COLUMN('Species Library'!Y121),FALSE)), "",VLOOKUP($A125,'Species Library'!$A$6:$Z$150,COLUMN('Species Library'!Y121),FALSE))</f>
        <v/>
      </c>
      <c r="AD125" s="30" t="str">
        <f>IF(ISNA(VLOOKUP($A125,'Species Library'!$A$6:$Z$150,COLUMN('Species Library'!Z121),FALSE)), "",VLOOKUP($A125,'Species Library'!$A$6:$Z$150,COLUMN('Species Library'!Z121),FALSE))</f>
        <v/>
      </c>
    </row>
    <row r="126" spans="2:30" x14ac:dyDescent="0.4">
      <c r="B126" s="30" t="str">
        <f>IF(ISNA(VLOOKUP($A126,'Species Library'!$A$6:$Z$150,COLUMN('Species Library'!B122),FALSE)), "",VLOOKUP($A126,'Species Library'!$A$6:$Z$150,COLUMN('Species Library'!B122),FALSE))</f>
        <v/>
      </c>
      <c r="C126" s="30" t="str">
        <f>IF(ISNA(VLOOKUP($A126,'Species Library'!$A$6:$Z$150,COLUMN('Species Library'!C122),FALSE)), "",VLOOKUP($A126,'Species Library'!$A$6:$Z$150,COLUMN('Species Library'!C122),FALSE))</f>
        <v/>
      </c>
      <c r="D126" s="30" t="str">
        <f>IF(ISNA(VLOOKUP($A126,'Species Library'!$A$6:$Z$150,COLUMN('Species Library'!D122),FALSE)), "",VLOOKUP($A126,'Species Library'!$A$6:$Z$150,COLUMN('Species Library'!D122),FALSE))</f>
        <v/>
      </c>
      <c r="E126" s="30" t="str">
        <f>IF(ISNA(VLOOKUP($A126,'Species Library'!$A$6:$Z$150,COLUMN('Species Library'!E122),FALSE)), "",VLOOKUP($A126,'Species Library'!$A$6:$Z$150,COLUMN('Species Library'!E122),FALSE))</f>
        <v/>
      </c>
      <c r="F126" s="30" t="str">
        <f>IF(ISNA(VLOOKUP($A126,'Species Library'!$A$6:$Z$150,COLUMN('Species Library'!F122),FALSE)), "",VLOOKUP($A126,'Species Library'!$A$6:$Z$150,COLUMN('Species Library'!F122),FALSE))</f>
        <v/>
      </c>
      <c r="G126" s="30" t="str">
        <f t="shared" si="4"/>
        <v/>
      </c>
      <c r="H126" s="30" t="str">
        <f>IF(ISNA(VLOOKUP($A126,'Species Library'!$A$6:$Z$150,COLUMN('Species Library'!G122),FALSE)), "",VLOOKUP($A126,'Species Library'!$A$6:$Z$150,COLUMN('Species Library'!G122),FALSE))</f>
        <v/>
      </c>
      <c r="I126" s="30" t="str">
        <f>IF(ISNA(VLOOKUP($A126,'Species Library'!$A$6:$Z$150,COLUMN('Species Library'!H122),FALSE)), "",VLOOKUP($A126,'Species Library'!$A$6:$Z$150,COLUMN('Species Library'!H122),FALSE))</f>
        <v/>
      </c>
      <c r="J126" s="30" t="str">
        <f>IF(ISNA(VLOOKUP($A126,'Species Library'!$A$6:$Z$150,COLUMN('Species Library'!I122),FALSE)), "",VLOOKUP($A126,'Species Library'!$A$6:$Z$150,COLUMN('Species Library'!I122),FALSE))</f>
        <v/>
      </c>
      <c r="K126" s="30" t="str">
        <f>IF(ISNA(VLOOKUP($A126,'Species Library'!$A$6:$Z$150,COLUMN('Species Library'!J122),FALSE)), "",VLOOKUP($A126,'Species Library'!$A$6:$Z$150,COLUMN('Species Library'!J122),FALSE))</f>
        <v/>
      </c>
      <c r="L126" s="30" t="str">
        <f>IF(ISNA(VLOOKUP($A126,'Species Library'!$A$6:$Z$150,COLUMN('Species Library'!K122),FALSE)), "",VLOOKUP($A126,'Species Library'!$A$6:$Z$150,COLUMN('Species Library'!K122),FALSE))</f>
        <v/>
      </c>
      <c r="M126" s="30" t="str">
        <f t="shared" si="5"/>
        <v/>
      </c>
      <c r="N126" s="30" t="str">
        <f>IF(ISNA(VLOOKUP($A126,'Species Library'!$A$6:$Z$150,COLUMN('Species Library'!L122),FALSE)), "",VLOOKUP($A126,'Species Library'!$A$6:$Z$150,COLUMN('Species Library'!L122),FALSE))</f>
        <v/>
      </c>
      <c r="O126" s="30" t="str">
        <f>IF(ISNA(VLOOKUP($A126,'Species Library'!$A$6:$Z$150,COLUMN('Species Library'!M122),FALSE)), "",VLOOKUP($A126,'Species Library'!$A$6:$Z$150,COLUMN('Species Library'!M122),FALSE))</f>
        <v/>
      </c>
      <c r="P126" s="30" t="str">
        <f>IF(ISNA(VLOOKUP($A126,'Species Library'!$A$6:$Z$150,COLUMN('Species Library'!N122),FALSE)), "",VLOOKUP($A126,'Species Library'!$A$6:$Z$150,COLUMN('Species Library'!N122),FALSE))</f>
        <v/>
      </c>
      <c r="Q126" s="30" t="str">
        <f t="shared" si="6"/>
        <v/>
      </c>
      <c r="R126" s="30" t="str">
        <f>IF(ISNA(VLOOKUP($A126,'Species Library'!$A$6:$Z$150,COLUMN('Species Library'!O122),FALSE)), "",VLOOKUP($A126,'Species Library'!$A$6:$Z$150,COLUMN('Species Library'!O122),FALSE))</f>
        <v/>
      </c>
      <c r="S126" s="30" t="str">
        <f>IF(ISNA(VLOOKUP($A126,'Species Library'!$A$6:$Z$150,COLUMN('Species Library'!P122),FALSE)), "",VLOOKUP($A126,'Species Library'!$A$6:$Z$150,COLUMN('Species Library'!P122),FALSE))</f>
        <v/>
      </c>
      <c r="T126" s="30" t="str">
        <f>IF(ISNA(VLOOKUP($A126,'Species Library'!$A$6:$Z$150,COLUMN('Species Library'!Q122),FALSE)), "",VLOOKUP($A126,'Species Library'!$A$6:$Z$150,COLUMN('Species Library'!Q122),FALSE))</f>
        <v/>
      </c>
      <c r="U126" s="30" t="str">
        <f>IF(ISNA(VLOOKUP($A126,'Species Library'!$A$6:$Z$150,COLUMN('Species Library'!R122),FALSE)), "",VLOOKUP($A126,'Species Library'!$A$6:$Z$150,COLUMN('Species Library'!R122),FALSE))</f>
        <v/>
      </c>
      <c r="V126" s="30" t="str">
        <f>IF(ISNA(VLOOKUP($A126,'Species Library'!$A$6:$Z$150,COLUMN('Species Library'!S122),FALSE)), "",VLOOKUP($A126,'Species Library'!$A$6:$Z$150,COLUMN('Species Library'!S122),FALSE))</f>
        <v/>
      </c>
      <c r="W126" s="30" t="str">
        <f>IF(ISNA(VLOOKUP($A126,'Species Library'!$A$6:$Z$150,COLUMN('Species Library'!T122),FALSE)), "",VLOOKUP($A126,'Species Library'!$A$6:$Z$150,COLUMN('Species Library'!T122),FALSE))</f>
        <v/>
      </c>
      <c r="X126" s="30" t="str">
        <f t="shared" si="7"/>
        <v/>
      </c>
      <c r="Y126" s="30" t="str">
        <f>IF(ISNA(VLOOKUP($A126,'Species Library'!$A$6:$Z$150,COLUMN('Species Library'!U122),FALSE)), "",VLOOKUP($A126,'Species Library'!$A$6:$Z$150,COLUMN('Species Library'!U122),FALSE))</f>
        <v/>
      </c>
      <c r="Z126" s="30" t="str">
        <f>IF(ISNA(VLOOKUP($A126,'Species Library'!$A$6:$Z$150,COLUMN('Species Library'!V122),FALSE)), "",VLOOKUP($A126,'Species Library'!$A$6:$Z$150,COLUMN('Species Library'!V122),FALSE))</f>
        <v/>
      </c>
      <c r="AA126" s="30" t="str">
        <f>IF(ISNA(VLOOKUP($A126,'Species Library'!$A$6:$Z$150,COLUMN('Species Library'!W122),FALSE)), "",VLOOKUP($A126,'Species Library'!$A$6:$Z$150,COLUMN('Species Library'!W122),FALSE))</f>
        <v/>
      </c>
      <c r="AB126" s="30" t="str">
        <f>IF(ISNA(VLOOKUP($A126,'Species Library'!$A$6:$Z$150,COLUMN('Species Library'!X122),FALSE)), "",VLOOKUP($A126,'Species Library'!$A$6:$Z$150,COLUMN('Species Library'!X122),FALSE))</f>
        <v/>
      </c>
      <c r="AC126" s="30" t="str">
        <f>IF(ISNA(VLOOKUP($A126,'Species Library'!$A$6:$Z$150,COLUMN('Species Library'!Y122),FALSE)), "",VLOOKUP($A126,'Species Library'!$A$6:$Z$150,COLUMN('Species Library'!Y122),FALSE))</f>
        <v/>
      </c>
      <c r="AD126" s="30" t="str">
        <f>IF(ISNA(VLOOKUP($A126,'Species Library'!$A$6:$Z$150,COLUMN('Species Library'!Z122),FALSE)), "",VLOOKUP($A126,'Species Library'!$A$6:$Z$150,COLUMN('Species Library'!Z122),FALSE))</f>
        <v/>
      </c>
    </row>
    <row r="127" spans="2:30" x14ac:dyDescent="0.4">
      <c r="B127" s="30" t="str">
        <f>IF(ISNA(VLOOKUP($A127,'Species Library'!$A$6:$Z$150,COLUMN('Species Library'!B123),FALSE)), "",VLOOKUP($A127,'Species Library'!$A$6:$Z$150,COLUMN('Species Library'!B123),FALSE))</f>
        <v/>
      </c>
      <c r="C127" s="30" t="str">
        <f>IF(ISNA(VLOOKUP($A127,'Species Library'!$A$6:$Z$150,COLUMN('Species Library'!C123),FALSE)), "",VLOOKUP($A127,'Species Library'!$A$6:$Z$150,COLUMN('Species Library'!C123),FALSE))</f>
        <v/>
      </c>
      <c r="D127" s="30" t="str">
        <f>IF(ISNA(VLOOKUP($A127,'Species Library'!$A$6:$Z$150,COLUMN('Species Library'!D123),FALSE)), "",VLOOKUP($A127,'Species Library'!$A$6:$Z$150,COLUMN('Species Library'!D123),FALSE))</f>
        <v/>
      </c>
      <c r="E127" s="30" t="str">
        <f>IF(ISNA(VLOOKUP($A127,'Species Library'!$A$6:$Z$150,COLUMN('Species Library'!E123),FALSE)), "",VLOOKUP($A127,'Species Library'!$A$6:$Z$150,COLUMN('Species Library'!E123),FALSE))</f>
        <v/>
      </c>
      <c r="F127" s="30" t="str">
        <f>IF(ISNA(VLOOKUP($A127,'Species Library'!$A$6:$Z$150,COLUMN('Species Library'!F123),FALSE)), "",VLOOKUP($A127,'Species Library'!$A$6:$Z$150,COLUMN('Species Library'!F123),FALSE))</f>
        <v/>
      </c>
      <c r="G127" s="30" t="str">
        <f t="shared" si="4"/>
        <v/>
      </c>
      <c r="H127" s="30" t="str">
        <f>IF(ISNA(VLOOKUP($A127,'Species Library'!$A$6:$Z$150,COLUMN('Species Library'!G123),FALSE)), "",VLOOKUP($A127,'Species Library'!$A$6:$Z$150,COLUMN('Species Library'!G123),FALSE))</f>
        <v/>
      </c>
      <c r="I127" s="30" t="str">
        <f>IF(ISNA(VLOOKUP($A127,'Species Library'!$A$6:$Z$150,COLUMN('Species Library'!H123),FALSE)), "",VLOOKUP($A127,'Species Library'!$A$6:$Z$150,COLUMN('Species Library'!H123),FALSE))</f>
        <v/>
      </c>
      <c r="J127" s="30" t="str">
        <f>IF(ISNA(VLOOKUP($A127,'Species Library'!$A$6:$Z$150,COLUMN('Species Library'!I123),FALSE)), "",VLOOKUP($A127,'Species Library'!$A$6:$Z$150,COLUMN('Species Library'!I123),FALSE))</f>
        <v/>
      </c>
      <c r="K127" s="30" t="str">
        <f>IF(ISNA(VLOOKUP($A127,'Species Library'!$A$6:$Z$150,COLUMN('Species Library'!J123),FALSE)), "",VLOOKUP($A127,'Species Library'!$A$6:$Z$150,COLUMN('Species Library'!J123),FALSE))</f>
        <v/>
      </c>
      <c r="L127" s="30" t="str">
        <f>IF(ISNA(VLOOKUP($A127,'Species Library'!$A$6:$Z$150,COLUMN('Species Library'!K123),FALSE)), "",VLOOKUP($A127,'Species Library'!$A$6:$Z$150,COLUMN('Species Library'!K123),FALSE))</f>
        <v/>
      </c>
      <c r="M127" s="30" t="str">
        <f t="shared" si="5"/>
        <v/>
      </c>
      <c r="N127" s="30" t="str">
        <f>IF(ISNA(VLOOKUP($A127,'Species Library'!$A$6:$Z$150,COLUMN('Species Library'!L123),FALSE)), "",VLOOKUP($A127,'Species Library'!$A$6:$Z$150,COLUMN('Species Library'!L123),FALSE))</f>
        <v/>
      </c>
      <c r="O127" s="30" t="str">
        <f>IF(ISNA(VLOOKUP($A127,'Species Library'!$A$6:$Z$150,COLUMN('Species Library'!M123),FALSE)), "",VLOOKUP($A127,'Species Library'!$A$6:$Z$150,COLUMN('Species Library'!M123),FALSE))</f>
        <v/>
      </c>
      <c r="P127" s="30" t="str">
        <f>IF(ISNA(VLOOKUP($A127,'Species Library'!$A$6:$Z$150,COLUMN('Species Library'!N123),FALSE)), "",VLOOKUP($A127,'Species Library'!$A$6:$Z$150,COLUMN('Species Library'!N123),FALSE))</f>
        <v/>
      </c>
      <c r="Q127" s="30" t="str">
        <f t="shared" si="6"/>
        <v/>
      </c>
      <c r="R127" s="30" t="str">
        <f>IF(ISNA(VLOOKUP($A127,'Species Library'!$A$6:$Z$150,COLUMN('Species Library'!O123),FALSE)), "",VLOOKUP($A127,'Species Library'!$A$6:$Z$150,COLUMN('Species Library'!O123),FALSE))</f>
        <v/>
      </c>
      <c r="S127" s="30" t="str">
        <f>IF(ISNA(VLOOKUP($A127,'Species Library'!$A$6:$Z$150,COLUMN('Species Library'!P123),FALSE)), "",VLOOKUP($A127,'Species Library'!$A$6:$Z$150,COLUMN('Species Library'!P123),FALSE))</f>
        <v/>
      </c>
      <c r="T127" s="30" t="str">
        <f>IF(ISNA(VLOOKUP($A127,'Species Library'!$A$6:$Z$150,COLUMN('Species Library'!Q123),FALSE)), "",VLOOKUP($A127,'Species Library'!$A$6:$Z$150,COLUMN('Species Library'!Q123),FALSE))</f>
        <v/>
      </c>
      <c r="U127" s="30" t="str">
        <f>IF(ISNA(VLOOKUP($A127,'Species Library'!$A$6:$Z$150,COLUMN('Species Library'!R123),FALSE)), "",VLOOKUP($A127,'Species Library'!$A$6:$Z$150,COLUMN('Species Library'!R123),FALSE))</f>
        <v/>
      </c>
      <c r="V127" s="30" t="str">
        <f>IF(ISNA(VLOOKUP($A127,'Species Library'!$A$6:$Z$150,COLUMN('Species Library'!S123),FALSE)), "",VLOOKUP($A127,'Species Library'!$A$6:$Z$150,COLUMN('Species Library'!S123),FALSE))</f>
        <v/>
      </c>
      <c r="W127" s="30" t="str">
        <f>IF(ISNA(VLOOKUP($A127,'Species Library'!$A$6:$Z$150,COLUMN('Species Library'!T123),FALSE)), "",VLOOKUP($A127,'Species Library'!$A$6:$Z$150,COLUMN('Species Library'!T123),FALSE))</f>
        <v/>
      </c>
      <c r="X127" s="30" t="str">
        <f t="shared" si="7"/>
        <v/>
      </c>
      <c r="Y127" s="30" t="str">
        <f>IF(ISNA(VLOOKUP($A127,'Species Library'!$A$6:$Z$150,COLUMN('Species Library'!U123),FALSE)), "",VLOOKUP($A127,'Species Library'!$A$6:$Z$150,COLUMN('Species Library'!U123),FALSE))</f>
        <v/>
      </c>
      <c r="Z127" s="30" t="str">
        <f>IF(ISNA(VLOOKUP($A127,'Species Library'!$A$6:$Z$150,COLUMN('Species Library'!V123),FALSE)), "",VLOOKUP($A127,'Species Library'!$A$6:$Z$150,COLUMN('Species Library'!V123),FALSE))</f>
        <v/>
      </c>
      <c r="AA127" s="30" t="str">
        <f>IF(ISNA(VLOOKUP($A127,'Species Library'!$A$6:$Z$150,COLUMN('Species Library'!W123),FALSE)), "",VLOOKUP($A127,'Species Library'!$A$6:$Z$150,COLUMN('Species Library'!W123),FALSE))</f>
        <v/>
      </c>
      <c r="AB127" s="30" t="str">
        <f>IF(ISNA(VLOOKUP($A127,'Species Library'!$A$6:$Z$150,COLUMN('Species Library'!X123),FALSE)), "",VLOOKUP($A127,'Species Library'!$A$6:$Z$150,COLUMN('Species Library'!X123),FALSE))</f>
        <v/>
      </c>
      <c r="AC127" s="30" t="str">
        <f>IF(ISNA(VLOOKUP($A127,'Species Library'!$A$6:$Z$150,COLUMN('Species Library'!Y123),FALSE)), "",VLOOKUP($A127,'Species Library'!$A$6:$Z$150,COLUMN('Species Library'!Y123),FALSE))</f>
        <v/>
      </c>
      <c r="AD127" s="30" t="str">
        <f>IF(ISNA(VLOOKUP($A127,'Species Library'!$A$6:$Z$150,COLUMN('Species Library'!Z123),FALSE)), "",VLOOKUP($A127,'Species Library'!$A$6:$Z$150,COLUMN('Species Library'!Z123),FALSE))</f>
        <v/>
      </c>
    </row>
    <row r="128" spans="2:30" x14ac:dyDescent="0.4">
      <c r="B128" s="30" t="str">
        <f>IF(ISNA(VLOOKUP($A128,'Species Library'!$A$6:$Z$150,COLUMN('Species Library'!B124),FALSE)), "",VLOOKUP($A128,'Species Library'!$A$6:$Z$150,COLUMN('Species Library'!B124),FALSE))</f>
        <v/>
      </c>
      <c r="C128" s="30" t="str">
        <f>IF(ISNA(VLOOKUP($A128,'Species Library'!$A$6:$Z$150,COLUMN('Species Library'!C124),FALSE)), "",VLOOKUP($A128,'Species Library'!$A$6:$Z$150,COLUMN('Species Library'!C124),FALSE))</f>
        <v/>
      </c>
      <c r="D128" s="30" t="str">
        <f>IF(ISNA(VLOOKUP($A128,'Species Library'!$A$6:$Z$150,COLUMN('Species Library'!D124),FALSE)), "",VLOOKUP($A128,'Species Library'!$A$6:$Z$150,COLUMN('Species Library'!D124),FALSE))</f>
        <v/>
      </c>
      <c r="E128" s="30" t="str">
        <f>IF(ISNA(VLOOKUP($A128,'Species Library'!$A$6:$Z$150,COLUMN('Species Library'!E124),FALSE)), "",VLOOKUP($A128,'Species Library'!$A$6:$Z$150,COLUMN('Species Library'!E124),FALSE))</f>
        <v/>
      </c>
      <c r="F128" s="30" t="str">
        <f>IF(ISNA(VLOOKUP($A128,'Species Library'!$A$6:$Z$150,COLUMN('Species Library'!F124),FALSE)), "",VLOOKUP($A128,'Species Library'!$A$6:$Z$150,COLUMN('Species Library'!F124),FALSE))</f>
        <v/>
      </c>
      <c r="G128" s="30" t="str">
        <f t="shared" si="4"/>
        <v/>
      </c>
      <c r="H128" s="30" t="str">
        <f>IF(ISNA(VLOOKUP($A128,'Species Library'!$A$6:$Z$150,COLUMN('Species Library'!G124),FALSE)), "",VLOOKUP($A128,'Species Library'!$A$6:$Z$150,COLUMN('Species Library'!G124),FALSE))</f>
        <v/>
      </c>
      <c r="I128" s="30" t="str">
        <f>IF(ISNA(VLOOKUP($A128,'Species Library'!$A$6:$Z$150,COLUMN('Species Library'!H124),FALSE)), "",VLOOKUP($A128,'Species Library'!$A$6:$Z$150,COLUMN('Species Library'!H124),FALSE))</f>
        <v/>
      </c>
      <c r="J128" s="30" t="str">
        <f>IF(ISNA(VLOOKUP($A128,'Species Library'!$A$6:$Z$150,COLUMN('Species Library'!I124),FALSE)), "",VLOOKUP($A128,'Species Library'!$A$6:$Z$150,COLUMN('Species Library'!I124),FALSE))</f>
        <v/>
      </c>
      <c r="K128" s="30" t="str">
        <f>IF(ISNA(VLOOKUP($A128,'Species Library'!$A$6:$Z$150,COLUMN('Species Library'!J124),FALSE)), "",VLOOKUP($A128,'Species Library'!$A$6:$Z$150,COLUMN('Species Library'!J124),FALSE))</f>
        <v/>
      </c>
      <c r="L128" s="30" t="str">
        <f>IF(ISNA(VLOOKUP($A128,'Species Library'!$A$6:$Z$150,COLUMN('Species Library'!K124),FALSE)), "",VLOOKUP($A128,'Species Library'!$A$6:$Z$150,COLUMN('Species Library'!K124),FALSE))</f>
        <v/>
      </c>
      <c r="M128" s="30" t="str">
        <f t="shared" si="5"/>
        <v/>
      </c>
      <c r="N128" s="30" t="str">
        <f>IF(ISNA(VLOOKUP($A128,'Species Library'!$A$6:$Z$150,COLUMN('Species Library'!L124),FALSE)), "",VLOOKUP($A128,'Species Library'!$A$6:$Z$150,COLUMN('Species Library'!L124),FALSE))</f>
        <v/>
      </c>
      <c r="O128" s="30" t="str">
        <f>IF(ISNA(VLOOKUP($A128,'Species Library'!$A$6:$Z$150,COLUMN('Species Library'!M124),FALSE)), "",VLOOKUP($A128,'Species Library'!$A$6:$Z$150,COLUMN('Species Library'!M124),FALSE))</f>
        <v/>
      </c>
      <c r="P128" s="30" t="str">
        <f>IF(ISNA(VLOOKUP($A128,'Species Library'!$A$6:$Z$150,COLUMN('Species Library'!N124),FALSE)), "",VLOOKUP($A128,'Species Library'!$A$6:$Z$150,COLUMN('Species Library'!N124),FALSE))</f>
        <v/>
      </c>
      <c r="Q128" s="30" t="str">
        <f t="shared" si="6"/>
        <v/>
      </c>
      <c r="R128" s="30" t="str">
        <f>IF(ISNA(VLOOKUP($A128,'Species Library'!$A$6:$Z$150,COLUMN('Species Library'!O124),FALSE)), "",VLOOKUP($A128,'Species Library'!$A$6:$Z$150,COLUMN('Species Library'!O124),FALSE))</f>
        <v/>
      </c>
      <c r="S128" s="30" t="str">
        <f>IF(ISNA(VLOOKUP($A128,'Species Library'!$A$6:$Z$150,COLUMN('Species Library'!P124),FALSE)), "",VLOOKUP($A128,'Species Library'!$A$6:$Z$150,COLUMN('Species Library'!P124),FALSE))</f>
        <v/>
      </c>
      <c r="T128" s="30" t="str">
        <f>IF(ISNA(VLOOKUP($A128,'Species Library'!$A$6:$Z$150,COLUMN('Species Library'!Q124),FALSE)), "",VLOOKUP($A128,'Species Library'!$A$6:$Z$150,COLUMN('Species Library'!Q124),FALSE))</f>
        <v/>
      </c>
      <c r="U128" s="30" t="str">
        <f>IF(ISNA(VLOOKUP($A128,'Species Library'!$A$6:$Z$150,COLUMN('Species Library'!R124),FALSE)), "",VLOOKUP($A128,'Species Library'!$A$6:$Z$150,COLUMN('Species Library'!R124),FALSE))</f>
        <v/>
      </c>
      <c r="V128" s="30" t="str">
        <f>IF(ISNA(VLOOKUP($A128,'Species Library'!$A$6:$Z$150,COLUMN('Species Library'!S124),FALSE)), "",VLOOKUP($A128,'Species Library'!$A$6:$Z$150,COLUMN('Species Library'!S124),FALSE))</f>
        <v/>
      </c>
      <c r="W128" s="30" t="str">
        <f>IF(ISNA(VLOOKUP($A128,'Species Library'!$A$6:$Z$150,COLUMN('Species Library'!T124),FALSE)), "",VLOOKUP($A128,'Species Library'!$A$6:$Z$150,COLUMN('Species Library'!T124),FALSE))</f>
        <v/>
      </c>
      <c r="X128" s="30" t="str">
        <f t="shared" si="7"/>
        <v/>
      </c>
      <c r="Y128" s="30" t="str">
        <f>IF(ISNA(VLOOKUP($A128,'Species Library'!$A$6:$Z$150,COLUMN('Species Library'!U124),FALSE)), "",VLOOKUP($A128,'Species Library'!$A$6:$Z$150,COLUMN('Species Library'!U124),FALSE))</f>
        <v/>
      </c>
      <c r="Z128" s="30" t="str">
        <f>IF(ISNA(VLOOKUP($A128,'Species Library'!$A$6:$Z$150,COLUMN('Species Library'!V124),FALSE)), "",VLOOKUP($A128,'Species Library'!$A$6:$Z$150,COLUMN('Species Library'!V124),FALSE))</f>
        <v/>
      </c>
      <c r="AA128" s="30" t="str">
        <f>IF(ISNA(VLOOKUP($A128,'Species Library'!$A$6:$Z$150,COLUMN('Species Library'!W124),FALSE)), "",VLOOKUP($A128,'Species Library'!$A$6:$Z$150,COLUMN('Species Library'!W124),FALSE))</f>
        <v/>
      </c>
      <c r="AB128" s="30" t="str">
        <f>IF(ISNA(VLOOKUP($A128,'Species Library'!$A$6:$Z$150,COLUMN('Species Library'!X124),FALSE)), "",VLOOKUP($A128,'Species Library'!$A$6:$Z$150,COLUMN('Species Library'!X124),FALSE))</f>
        <v/>
      </c>
      <c r="AC128" s="30" t="str">
        <f>IF(ISNA(VLOOKUP($A128,'Species Library'!$A$6:$Z$150,COLUMN('Species Library'!Y124),FALSE)), "",VLOOKUP($A128,'Species Library'!$A$6:$Z$150,COLUMN('Species Library'!Y124),FALSE))</f>
        <v/>
      </c>
      <c r="AD128" s="30" t="str">
        <f>IF(ISNA(VLOOKUP($A128,'Species Library'!$A$6:$Z$150,COLUMN('Species Library'!Z124),FALSE)), "",VLOOKUP($A128,'Species Library'!$A$6:$Z$150,COLUMN('Species Library'!Z124),FALSE))</f>
        <v/>
      </c>
    </row>
    <row r="129" spans="2:30" x14ac:dyDescent="0.4">
      <c r="B129" s="30" t="str">
        <f>IF(ISNA(VLOOKUP($A129,'Species Library'!$A$6:$Z$150,COLUMN('Species Library'!B125),FALSE)), "",VLOOKUP($A129,'Species Library'!$A$6:$Z$150,COLUMN('Species Library'!B125),FALSE))</f>
        <v/>
      </c>
      <c r="C129" s="30" t="str">
        <f>IF(ISNA(VLOOKUP($A129,'Species Library'!$A$6:$Z$150,COLUMN('Species Library'!C125),FALSE)), "",VLOOKUP($A129,'Species Library'!$A$6:$Z$150,COLUMN('Species Library'!C125),FALSE))</f>
        <v/>
      </c>
      <c r="D129" s="30" t="str">
        <f>IF(ISNA(VLOOKUP($A129,'Species Library'!$A$6:$Z$150,COLUMN('Species Library'!D125),FALSE)), "",VLOOKUP($A129,'Species Library'!$A$6:$Z$150,COLUMN('Species Library'!D125),FALSE))</f>
        <v/>
      </c>
      <c r="E129" s="30" t="str">
        <f>IF(ISNA(VLOOKUP($A129,'Species Library'!$A$6:$Z$150,COLUMN('Species Library'!E125),FALSE)), "",VLOOKUP($A129,'Species Library'!$A$6:$Z$150,COLUMN('Species Library'!E125),FALSE))</f>
        <v/>
      </c>
      <c r="F129" s="30" t="str">
        <f>IF(ISNA(VLOOKUP($A129,'Species Library'!$A$6:$Z$150,COLUMN('Species Library'!F125),FALSE)), "",VLOOKUP($A129,'Species Library'!$A$6:$Z$150,COLUMN('Species Library'!F125),FALSE))</f>
        <v/>
      </c>
      <c r="G129" s="30" t="str">
        <f t="shared" si="4"/>
        <v/>
      </c>
      <c r="H129" s="30" t="str">
        <f>IF(ISNA(VLOOKUP($A129,'Species Library'!$A$6:$Z$150,COLUMN('Species Library'!G125),FALSE)), "",VLOOKUP($A129,'Species Library'!$A$6:$Z$150,COLUMN('Species Library'!G125),FALSE))</f>
        <v/>
      </c>
      <c r="I129" s="30" t="str">
        <f>IF(ISNA(VLOOKUP($A129,'Species Library'!$A$6:$Z$150,COLUMN('Species Library'!H125),FALSE)), "",VLOOKUP($A129,'Species Library'!$A$6:$Z$150,COLUMN('Species Library'!H125),FALSE))</f>
        <v/>
      </c>
      <c r="J129" s="30" t="str">
        <f>IF(ISNA(VLOOKUP($A129,'Species Library'!$A$6:$Z$150,COLUMN('Species Library'!I125),FALSE)), "",VLOOKUP($A129,'Species Library'!$A$6:$Z$150,COLUMN('Species Library'!I125),FALSE))</f>
        <v/>
      </c>
      <c r="K129" s="30" t="str">
        <f>IF(ISNA(VLOOKUP($A129,'Species Library'!$A$6:$Z$150,COLUMN('Species Library'!J125),FALSE)), "",VLOOKUP($A129,'Species Library'!$A$6:$Z$150,COLUMN('Species Library'!J125),FALSE))</f>
        <v/>
      </c>
      <c r="L129" s="30" t="str">
        <f>IF(ISNA(VLOOKUP($A129,'Species Library'!$A$6:$Z$150,COLUMN('Species Library'!K125),FALSE)), "",VLOOKUP($A129,'Species Library'!$A$6:$Z$150,COLUMN('Species Library'!K125),FALSE))</f>
        <v/>
      </c>
      <c r="M129" s="30" t="str">
        <f t="shared" si="5"/>
        <v/>
      </c>
      <c r="N129" s="30" t="str">
        <f>IF(ISNA(VLOOKUP($A129,'Species Library'!$A$6:$Z$150,COLUMN('Species Library'!L125),FALSE)), "",VLOOKUP($A129,'Species Library'!$A$6:$Z$150,COLUMN('Species Library'!L125),FALSE))</f>
        <v/>
      </c>
      <c r="O129" s="30" t="str">
        <f>IF(ISNA(VLOOKUP($A129,'Species Library'!$A$6:$Z$150,COLUMN('Species Library'!M125),FALSE)), "",VLOOKUP($A129,'Species Library'!$A$6:$Z$150,COLUMN('Species Library'!M125),FALSE))</f>
        <v/>
      </c>
      <c r="P129" s="30" t="str">
        <f>IF(ISNA(VLOOKUP($A129,'Species Library'!$A$6:$Z$150,COLUMN('Species Library'!N125),FALSE)), "",VLOOKUP($A129,'Species Library'!$A$6:$Z$150,COLUMN('Species Library'!N125),FALSE))</f>
        <v/>
      </c>
      <c r="Q129" s="30" t="str">
        <f t="shared" si="6"/>
        <v/>
      </c>
      <c r="R129" s="30" t="str">
        <f>IF(ISNA(VLOOKUP($A129,'Species Library'!$A$6:$Z$150,COLUMN('Species Library'!O125),FALSE)), "",VLOOKUP($A129,'Species Library'!$A$6:$Z$150,COLUMN('Species Library'!O125),FALSE))</f>
        <v/>
      </c>
      <c r="S129" s="30" t="str">
        <f>IF(ISNA(VLOOKUP($A129,'Species Library'!$A$6:$Z$150,COLUMN('Species Library'!P125),FALSE)), "",VLOOKUP($A129,'Species Library'!$A$6:$Z$150,COLUMN('Species Library'!P125),FALSE))</f>
        <v/>
      </c>
      <c r="T129" s="30" t="str">
        <f>IF(ISNA(VLOOKUP($A129,'Species Library'!$A$6:$Z$150,COLUMN('Species Library'!Q125),FALSE)), "",VLOOKUP($A129,'Species Library'!$A$6:$Z$150,COLUMN('Species Library'!Q125),FALSE))</f>
        <v/>
      </c>
      <c r="U129" s="30" t="str">
        <f>IF(ISNA(VLOOKUP($A129,'Species Library'!$A$6:$Z$150,COLUMN('Species Library'!R125),FALSE)), "",VLOOKUP($A129,'Species Library'!$A$6:$Z$150,COLUMN('Species Library'!R125),FALSE))</f>
        <v/>
      </c>
      <c r="V129" s="30" t="str">
        <f>IF(ISNA(VLOOKUP($A129,'Species Library'!$A$6:$Z$150,COLUMN('Species Library'!S125),FALSE)), "",VLOOKUP($A129,'Species Library'!$A$6:$Z$150,COLUMN('Species Library'!S125),FALSE))</f>
        <v/>
      </c>
      <c r="W129" s="30" t="str">
        <f>IF(ISNA(VLOOKUP($A129,'Species Library'!$A$6:$Z$150,COLUMN('Species Library'!T125),FALSE)), "",VLOOKUP($A129,'Species Library'!$A$6:$Z$150,COLUMN('Species Library'!T125),FALSE))</f>
        <v/>
      </c>
      <c r="X129" s="30" t="str">
        <f t="shared" si="7"/>
        <v/>
      </c>
      <c r="Y129" s="30" t="str">
        <f>IF(ISNA(VLOOKUP($A129,'Species Library'!$A$6:$Z$150,COLUMN('Species Library'!U125),FALSE)), "",VLOOKUP($A129,'Species Library'!$A$6:$Z$150,COLUMN('Species Library'!U125),FALSE))</f>
        <v/>
      </c>
      <c r="Z129" s="30" t="str">
        <f>IF(ISNA(VLOOKUP($A129,'Species Library'!$A$6:$Z$150,COLUMN('Species Library'!V125),FALSE)), "",VLOOKUP($A129,'Species Library'!$A$6:$Z$150,COLUMN('Species Library'!V125),FALSE))</f>
        <v/>
      </c>
      <c r="AA129" s="30" t="str">
        <f>IF(ISNA(VLOOKUP($A129,'Species Library'!$A$6:$Z$150,COLUMN('Species Library'!W125),FALSE)), "",VLOOKUP($A129,'Species Library'!$A$6:$Z$150,COLUMN('Species Library'!W125),FALSE))</f>
        <v/>
      </c>
      <c r="AB129" s="30" t="str">
        <f>IF(ISNA(VLOOKUP($A129,'Species Library'!$A$6:$Z$150,COLUMN('Species Library'!X125),FALSE)), "",VLOOKUP($A129,'Species Library'!$A$6:$Z$150,COLUMN('Species Library'!X125),FALSE))</f>
        <v/>
      </c>
      <c r="AC129" s="30" t="str">
        <f>IF(ISNA(VLOOKUP($A129,'Species Library'!$A$6:$Z$150,COLUMN('Species Library'!Y125),FALSE)), "",VLOOKUP($A129,'Species Library'!$A$6:$Z$150,COLUMN('Species Library'!Y125),FALSE))</f>
        <v/>
      </c>
      <c r="AD129" s="30" t="str">
        <f>IF(ISNA(VLOOKUP($A129,'Species Library'!$A$6:$Z$150,COLUMN('Species Library'!Z125),FALSE)), "",VLOOKUP($A129,'Species Library'!$A$6:$Z$150,COLUMN('Species Library'!Z125),FALSE))</f>
        <v/>
      </c>
    </row>
    <row r="130" spans="2:30" x14ac:dyDescent="0.4">
      <c r="B130" s="30" t="str">
        <f>IF(ISNA(VLOOKUP($A130,'Species Library'!$A$6:$Z$150,COLUMN('Species Library'!B126),FALSE)), "",VLOOKUP($A130,'Species Library'!$A$6:$Z$150,COLUMN('Species Library'!B126),FALSE))</f>
        <v/>
      </c>
      <c r="C130" s="30" t="str">
        <f>IF(ISNA(VLOOKUP($A130,'Species Library'!$A$6:$Z$150,COLUMN('Species Library'!C126),FALSE)), "",VLOOKUP($A130,'Species Library'!$A$6:$Z$150,COLUMN('Species Library'!C126),FALSE))</f>
        <v/>
      </c>
      <c r="D130" s="30" t="str">
        <f>IF(ISNA(VLOOKUP($A130,'Species Library'!$A$6:$Z$150,COLUMN('Species Library'!D126),FALSE)), "",VLOOKUP($A130,'Species Library'!$A$6:$Z$150,COLUMN('Species Library'!D126),FALSE))</f>
        <v/>
      </c>
      <c r="E130" s="30" t="str">
        <f>IF(ISNA(VLOOKUP($A130,'Species Library'!$A$6:$Z$150,COLUMN('Species Library'!E126),FALSE)), "",VLOOKUP($A130,'Species Library'!$A$6:$Z$150,COLUMN('Species Library'!E126),FALSE))</f>
        <v/>
      </c>
      <c r="F130" s="30" t="str">
        <f>IF(ISNA(VLOOKUP($A130,'Species Library'!$A$6:$Z$150,COLUMN('Species Library'!F126),FALSE)), "",VLOOKUP($A130,'Species Library'!$A$6:$Z$150,COLUMN('Species Library'!F126),FALSE))</f>
        <v/>
      </c>
      <c r="G130" s="30" t="str">
        <f t="shared" si="4"/>
        <v/>
      </c>
      <c r="H130" s="30" t="str">
        <f>IF(ISNA(VLOOKUP($A130,'Species Library'!$A$6:$Z$150,COLUMN('Species Library'!G126),FALSE)), "",VLOOKUP($A130,'Species Library'!$A$6:$Z$150,COLUMN('Species Library'!G126),FALSE))</f>
        <v/>
      </c>
      <c r="I130" s="30" t="str">
        <f>IF(ISNA(VLOOKUP($A130,'Species Library'!$A$6:$Z$150,COLUMN('Species Library'!H126),FALSE)), "",VLOOKUP($A130,'Species Library'!$A$6:$Z$150,COLUMN('Species Library'!H126),FALSE))</f>
        <v/>
      </c>
      <c r="J130" s="30" t="str">
        <f>IF(ISNA(VLOOKUP($A130,'Species Library'!$A$6:$Z$150,COLUMN('Species Library'!I126),FALSE)), "",VLOOKUP($A130,'Species Library'!$A$6:$Z$150,COLUMN('Species Library'!I126),FALSE))</f>
        <v/>
      </c>
      <c r="K130" s="30" t="str">
        <f>IF(ISNA(VLOOKUP($A130,'Species Library'!$A$6:$Z$150,COLUMN('Species Library'!J126),FALSE)), "",VLOOKUP($A130,'Species Library'!$A$6:$Z$150,COLUMN('Species Library'!J126),FALSE))</f>
        <v/>
      </c>
      <c r="L130" s="30" t="str">
        <f>IF(ISNA(VLOOKUP($A130,'Species Library'!$A$6:$Z$150,COLUMN('Species Library'!K126),FALSE)), "",VLOOKUP($A130,'Species Library'!$A$6:$Z$150,COLUMN('Species Library'!K126),FALSE))</f>
        <v/>
      </c>
      <c r="M130" s="30" t="str">
        <f t="shared" si="5"/>
        <v/>
      </c>
      <c r="N130" s="30" t="str">
        <f>IF(ISNA(VLOOKUP($A130,'Species Library'!$A$6:$Z$150,COLUMN('Species Library'!L126),FALSE)), "",VLOOKUP($A130,'Species Library'!$A$6:$Z$150,COLUMN('Species Library'!L126),FALSE))</f>
        <v/>
      </c>
      <c r="O130" s="30" t="str">
        <f>IF(ISNA(VLOOKUP($A130,'Species Library'!$A$6:$Z$150,COLUMN('Species Library'!M126),FALSE)), "",VLOOKUP($A130,'Species Library'!$A$6:$Z$150,COLUMN('Species Library'!M126),FALSE))</f>
        <v/>
      </c>
      <c r="P130" s="30" t="str">
        <f>IF(ISNA(VLOOKUP($A130,'Species Library'!$A$6:$Z$150,COLUMN('Species Library'!N126),FALSE)), "",VLOOKUP($A130,'Species Library'!$A$6:$Z$150,COLUMN('Species Library'!N126),FALSE))</f>
        <v/>
      </c>
      <c r="Q130" s="30" t="str">
        <f t="shared" si="6"/>
        <v/>
      </c>
      <c r="R130" s="30" t="str">
        <f>IF(ISNA(VLOOKUP($A130,'Species Library'!$A$6:$Z$150,COLUMN('Species Library'!O126),FALSE)), "",VLOOKUP($A130,'Species Library'!$A$6:$Z$150,COLUMN('Species Library'!O126),FALSE))</f>
        <v/>
      </c>
      <c r="S130" s="30" t="str">
        <f>IF(ISNA(VLOOKUP($A130,'Species Library'!$A$6:$Z$150,COLUMN('Species Library'!P126),FALSE)), "",VLOOKUP($A130,'Species Library'!$A$6:$Z$150,COLUMN('Species Library'!P126),FALSE))</f>
        <v/>
      </c>
      <c r="T130" s="30" t="str">
        <f>IF(ISNA(VLOOKUP($A130,'Species Library'!$A$6:$Z$150,COLUMN('Species Library'!Q126),FALSE)), "",VLOOKUP($A130,'Species Library'!$A$6:$Z$150,COLUMN('Species Library'!Q126),FALSE))</f>
        <v/>
      </c>
      <c r="U130" s="30" t="str">
        <f>IF(ISNA(VLOOKUP($A130,'Species Library'!$A$6:$Z$150,COLUMN('Species Library'!R126),FALSE)), "",VLOOKUP($A130,'Species Library'!$A$6:$Z$150,COLUMN('Species Library'!R126),FALSE))</f>
        <v/>
      </c>
      <c r="V130" s="30" t="str">
        <f>IF(ISNA(VLOOKUP($A130,'Species Library'!$A$6:$Z$150,COLUMN('Species Library'!S126),FALSE)), "",VLOOKUP($A130,'Species Library'!$A$6:$Z$150,COLUMN('Species Library'!S126),FALSE))</f>
        <v/>
      </c>
      <c r="W130" s="30" t="str">
        <f>IF(ISNA(VLOOKUP($A130,'Species Library'!$A$6:$Z$150,COLUMN('Species Library'!T126),FALSE)), "",VLOOKUP($A130,'Species Library'!$A$6:$Z$150,COLUMN('Species Library'!T126),FALSE))</f>
        <v/>
      </c>
      <c r="X130" s="30" t="str">
        <f t="shared" si="7"/>
        <v/>
      </c>
      <c r="Y130" s="30" t="str">
        <f>IF(ISNA(VLOOKUP($A130,'Species Library'!$A$6:$Z$150,COLUMN('Species Library'!U126),FALSE)), "",VLOOKUP($A130,'Species Library'!$A$6:$Z$150,COLUMN('Species Library'!U126),FALSE))</f>
        <v/>
      </c>
      <c r="Z130" s="30" t="str">
        <f>IF(ISNA(VLOOKUP($A130,'Species Library'!$A$6:$Z$150,COLUMN('Species Library'!V126),FALSE)), "",VLOOKUP($A130,'Species Library'!$A$6:$Z$150,COLUMN('Species Library'!V126),FALSE))</f>
        <v/>
      </c>
      <c r="AA130" s="30" t="str">
        <f>IF(ISNA(VLOOKUP($A130,'Species Library'!$A$6:$Z$150,COLUMN('Species Library'!W126),FALSE)), "",VLOOKUP($A130,'Species Library'!$A$6:$Z$150,COLUMN('Species Library'!W126),FALSE))</f>
        <v/>
      </c>
      <c r="AB130" s="30" t="str">
        <f>IF(ISNA(VLOOKUP($A130,'Species Library'!$A$6:$Z$150,COLUMN('Species Library'!X126),FALSE)), "",VLOOKUP($A130,'Species Library'!$A$6:$Z$150,COLUMN('Species Library'!X126),FALSE))</f>
        <v/>
      </c>
      <c r="AC130" s="30" t="str">
        <f>IF(ISNA(VLOOKUP($A130,'Species Library'!$A$6:$Z$150,COLUMN('Species Library'!Y126),FALSE)), "",VLOOKUP($A130,'Species Library'!$A$6:$Z$150,COLUMN('Species Library'!Y126),FALSE))</f>
        <v/>
      </c>
      <c r="AD130" s="30" t="str">
        <f>IF(ISNA(VLOOKUP($A130,'Species Library'!$A$6:$Z$150,COLUMN('Species Library'!Z126),FALSE)), "",VLOOKUP($A130,'Species Library'!$A$6:$Z$150,COLUMN('Species Library'!Z126),FALSE))</f>
        <v/>
      </c>
    </row>
    <row r="131" spans="2:30" x14ac:dyDescent="0.4">
      <c r="B131" s="30" t="str">
        <f>IF(ISNA(VLOOKUP($A131,'Species Library'!$A$6:$Z$150,COLUMN('Species Library'!B127),FALSE)), "",VLOOKUP($A131,'Species Library'!$A$6:$Z$150,COLUMN('Species Library'!B127),FALSE))</f>
        <v/>
      </c>
      <c r="C131" s="30" t="str">
        <f>IF(ISNA(VLOOKUP($A131,'Species Library'!$A$6:$Z$150,COLUMN('Species Library'!C127),FALSE)), "",VLOOKUP($A131,'Species Library'!$A$6:$Z$150,COLUMN('Species Library'!C127),FALSE))</f>
        <v/>
      </c>
      <c r="D131" s="30" t="str">
        <f>IF(ISNA(VLOOKUP($A131,'Species Library'!$A$6:$Z$150,COLUMN('Species Library'!D127),FALSE)), "",VLOOKUP($A131,'Species Library'!$A$6:$Z$150,COLUMN('Species Library'!D127),FALSE))</f>
        <v/>
      </c>
      <c r="E131" s="30" t="str">
        <f>IF(ISNA(VLOOKUP($A131,'Species Library'!$A$6:$Z$150,COLUMN('Species Library'!E127),FALSE)), "",VLOOKUP($A131,'Species Library'!$A$6:$Z$150,COLUMN('Species Library'!E127),FALSE))</f>
        <v/>
      </c>
      <c r="F131" s="30" t="str">
        <f>IF(ISNA(VLOOKUP($A131,'Species Library'!$A$6:$Z$150,COLUMN('Species Library'!F127),FALSE)), "",VLOOKUP($A131,'Species Library'!$A$6:$Z$150,COLUMN('Species Library'!F127),FALSE))</f>
        <v/>
      </c>
      <c r="G131" s="30" t="str">
        <f t="shared" si="4"/>
        <v/>
      </c>
      <c r="H131" s="30" t="str">
        <f>IF(ISNA(VLOOKUP($A131,'Species Library'!$A$6:$Z$150,COLUMN('Species Library'!G127),FALSE)), "",VLOOKUP($A131,'Species Library'!$A$6:$Z$150,COLUMN('Species Library'!G127),FALSE))</f>
        <v/>
      </c>
      <c r="I131" s="30" t="str">
        <f>IF(ISNA(VLOOKUP($A131,'Species Library'!$A$6:$Z$150,COLUMN('Species Library'!H127),FALSE)), "",VLOOKUP($A131,'Species Library'!$A$6:$Z$150,COLUMN('Species Library'!H127),FALSE))</f>
        <v/>
      </c>
      <c r="J131" s="30" t="str">
        <f>IF(ISNA(VLOOKUP($A131,'Species Library'!$A$6:$Z$150,COLUMN('Species Library'!I127),FALSE)), "",VLOOKUP($A131,'Species Library'!$A$6:$Z$150,COLUMN('Species Library'!I127),FALSE))</f>
        <v/>
      </c>
      <c r="K131" s="30" t="str">
        <f>IF(ISNA(VLOOKUP($A131,'Species Library'!$A$6:$Z$150,COLUMN('Species Library'!J127),FALSE)), "",VLOOKUP($A131,'Species Library'!$A$6:$Z$150,COLUMN('Species Library'!J127),FALSE))</f>
        <v/>
      </c>
      <c r="L131" s="30" t="str">
        <f>IF(ISNA(VLOOKUP($A131,'Species Library'!$A$6:$Z$150,COLUMN('Species Library'!K127),FALSE)), "",VLOOKUP($A131,'Species Library'!$A$6:$Z$150,COLUMN('Species Library'!K127),FALSE))</f>
        <v/>
      </c>
      <c r="M131" s="30" t="str">
        <f t="shared" si="5"/>
        <v/>
      </c>
      <c r="N131" s="30" t="str">
        <f>IF(ISNA(VLOOKUP($A131,'Species Library'!$A$6:$Z$150,COLUMN('Species Library'!L127),FALSE)), "",VLOOKUP($A131,'Species Library'!$A$6:$Z$150,COLUMN('Species Library'!L127),FALSE))</f>
        <v/>
      </c>
      <c r="O131" s="30" t="str">
        <f>IF(ISNA(VLOOKUP($A131,'Species Library'!$A$6:$Z$150,COLUMN('Species Library'!M127),FALSE)), "",VLOOKUP($A131,'Species Library'!$A$6:$Z$150,COLUMN('Species Library'!M127),FALSE))</f>
        <v/>
      </c>
      <c r="P131" s="30" t="str">
        <f>IF(ISNA(VLOOKUP($A131,'Species Library'!$A$6:$Z$150,COLUMN('Species Library'!N127),FALSE)), "",VLOOKUP($A131,'Species Library'!$A$6:$Z$150,COLUMN('Species Library'!N127),FALSE))</f>
        <v/>
      </c>
      <c r="Q131" s="30" t="str">
        <f t="shared" si="6"/>
        <v/>
      </c>
      <c r="R131" s="30" t="str">
        <f>IF(ISNA(VLOOKUP($A131,'Species Library'!$A$6:$Z$150,COLUMN('Species Library'!O127),FALSE)), "",VLOOKUP($A131,'Species Library'!$A$6:$Z$150,COLUMN('Species Library'!O127),FALSE))</f>
        <v/>
      </c>
      <c r="S131" s="30" t="str">
        <f>IF(ISNA(VLOOKUP($A131,'Species Library'!$A$6:$Z$150,COLUMN('Species Library'!P127),FALSE)), "",VLOOKUP($A131,'Species Library'!$A$6:$Z$150,COLUMN('Species Library'!P127),FALSE))</f>
        <v/>
      </c>
      <c r="T131" s="30" t="str">
        <f>IF(ISNA(VLOOKUP($A131,'Species Library'!$A$6:$Z$150,COLUMN('Species Library'!Q127),FALSE)), "",VLOOKUP($A131,'Species Library'!$A$6:$Z$150,COLUMN('Species Library'!Q127),FALSE))</f>
        <v/>
      </c>
      <c r="U131" s="30" t="str">
        <f>IF(ISNA(VLOOKUP($A131,'Species Library'!$A$6:$Z$150,COLUMN('Species Library'!R127),FALSE)), "",VLOOKUP($A131,'Species Library'!$A$6:$Z$150,COLUMN('Species Library'!R127),FALSE))</f>
        <v/>
      </c>
      <c r="V131" s="30" t="str">
        <f>IF(ISNA(VLOOKUP($A131,'Species Library'!$A$6:$Z$150,COLUMN('Species Library'!S127),FALSE)), "",VLOOKUP($A131,'Species Library'!$A$6:$Z$150,COLUMN('Species Library'!S127),FALSE))</f>
        <v/>
      </c>
      <c r="W131" s="30" t="str">
        <f>IF(ISNA(VLOOKUP($A131,'Species Library'!$A$6:$Z$150,COLUMN('Species Library'!T127),FALSE)), "",VLOOKUP($A131,'Species Library'!$A$6:$Z$150,COLUMN('Species Library'!T127),FALSE))</f>
        <v/>
      </c>
      <c r="X131" s="30" t="str">
        <f t="shared" si="7"/>
        <v/>
      </c>
      <c r="Y131" s="30" t="str">
        <f>IF(ISNA(VLOOKUP($A131,'Species Library'!$A$6:$Z$150,COLUMN('Species Library'!U127),FALSE)), "",VLOOKUP($A131,'Species Library'!$A$6:$Z$150,COLUMN('Species Library'!U127),FALSE))</f>
        <v/>
      </c>
      <c r="Z131" s="30" t="str">
        <f>IF(ISNA(VLOOKUP($A131,'Species Library'!$A$6:$Z$150,COLUMN('Species Library'!V127),FALSE)), "",VLOOKUP($A131,'Species Library'!$A$6:$Z$150,COLUMN('Species Library'!V127),FALSE))</f>
        <v/>
      </c>
      <c r="AA131" s="30" t="str">
        <f>IF(ISNA(VLOOKUP($A131,'Species Library'!$A$6:$Z$150,COLUMN('Species Library'!W127),FALSE)), "",VLOOKUP($A131,'Species Library'!$A$6:$Z$150,COLUMN('Species Library'!W127),FALSE))</f>
        <v/>
      </c>
      <c r="AB131" s="30" t="str">
        <f>IF(ISNA(VLOOKUP($A131,'Species Library'!$A$6:$Z$150,COLUMN('Species Library'!X127),FALSE)), "",VLOOKUP($A131,'Species Library'!$A$6:$Z$150,COLUMN('Species Library'!X127),FALSE))</f>
        <v/>
      </c>
      <c r="AC131" s="30" t="str">
        <f>IF(ISNA(VLOOKUP($A131,'Species Library'!$A$6:$Z$150,COLUMN('Species Library'!Y127),FALSE)), "",VLOOKUP($A131,'Species Library'!$A$6:$Z$150,COLUMN('Species Library'!Y127),FALSE))</f>
        <v/>
      </c>
      <c r="AD131" s="30" t="str">
        <f>IF(ISNA(VLOOKUP($A131,'Species Library'!$A$6:$Z$150,COLUMN('Species Library'!Z127),FALSE)), "",VLOOKUP($A131,'Species Library'!$A$6:$Z$150,COLUMN('Species Library'!Z127),FALSE))</f>
        <v/>
      </c>
    </row>
    <row r="132" spans="2:30" x14ac:dyDescent="0.4">
      <c r="B132" s="30" t="str">
        <f>IF(ISNA(VLOOKUP($A132,'Species Library'!$A$6:$Z$150,COLUMN('Species Library'!B128),FALSE)), "",VLOOKUP($A132,'Species Library'!$A$6:$Z$150,COLUMN('Species Library'!B128),FALSE))</f>
        <v/>
      </c>
      <c r="C132" s="30" t="str">
        <f>IF(ISNA(VLOOKUP($A132,'Species Library'!$A$6:$Z$150,COLUMN('Species Library'!C128),FALSE)), "",VLOOKUP($A132,'Species Library'!$A$6:$Z$150,COLUMN('Species Library'!C128),FALSE))</f>
        <v/>
      </c>
      <c r="D132" s="30" t="str">
        <f>IF(ISNA(VLOOKUP($A132,'Species Library'!$A$6:$Z$150,COLUMN('Species Library'!D128),FALSE)), "",VLOOKUP($A132,'Species Library'!$A$6:$Z$150,COLUMN('Species Library'!D128),FALSE))</f>
        <v/>
      </c>
      <c r="E132" s="30" t="str">
        <f>IF(ISNA(VLOOKUP($A132,'Species Library'!$A$6:$Z$150,COLUMN('Species Library'!E128),FALSE)), "",VLOOKUP($A132,'Species Library'!$A$6:$Z$150,COLUMN('Species Library'!E128),FALSE))</f>
        <v/>
      </c>
      <c r="F132" s="30" t="str">
        <f>IF(ISNA(VLOOKUP($A132,'Species Library'!$A$6:$Z$150,COLUMN('Species Library'!F128),FALSE)), "",VLOOKUP($A132,'Species Library'!$A$6:$Z$150,COLUMN('Species Library'!F128),FALSE))</f>
        <v/>
      </c>
      <c r="G132" s="30" t="str">
        <f t="shared" si="4"/>
        <v/>
      </c>
      <c r="H132" s="30" t="str">
        <f>IF(ISNA(VLOOKUP($A132,'Species Library'!$A$6:$Z$150,COLUMN('Species Library'!G128),FALSE)), "",VLOOKUP($A132,'Species Library'!$A$6:$Z$150,COLUMN('Species Library'!G128),FALSE))</f>
        <v/>
      </c>
      <c r="I132" s="30" t="str">
        <f>IF(ISNA(VLOOKUP($A132,'Species Library'!$A$6:$Z$150,COLUMN('Species Library'!H128),FALSE)), "",VLOOKUP($A132,'Species Library'!$A$6:$Z$150,COLUMN('Species Library'!H128),FALSE))</f>
        <v/>
      </c>
      <c r="J132" s="30" t="str">
        <f>IF(ISNA(VLOOKUP($A132,'Species Library'!$A$6:$Z$150,COLUMN('Species Library'!I128),FALSE)), "",VLOOKUP($A132,'Species Library'!$A$6:$Z$150,COLUMN('Species Library'!I128),FALSE))</f>
        <v/>
      </c>
      <c r="K132" s="30" t="str">
        <f>IF(ISNA(VLOOKUP($A132,'Species Library'!$A$6:$Z$150,COLUMN('Species Library'!J128),FALSE)), "",VLOOKUP($A132,'Species Library'!$A$6:$Z$150,COLUMN('Species Library'!J128),FALSE))</f>
        <v/>
      </c>
      <c r="L132" s="30" t="str">
        <f>IF(ISNA(VLOOKUP($A132,'Species Library'!$A$6:$Z$150,COLUMN('Species Library'!K128),FALSE)), "",VLOOKUP($A132,'Species Library'!$A$6:$Z$150,COLUMN('Species Library'!K128),FALSE))</f>
        <v/>
      </c>
      <c r="M132" s="30" t="str">
        <f t="shared" si="5"/>
        <v/>
      </c>
      <c r="N132" s="30" t="str">
        <f>IF(ISNA(VLOOKUP($A132,'Species Library'!$A$6:$Z$150,COLUMN('Species Library'!L128),FALSE)), "",VLOOKUP($A132,'Species Library'!$A$6:$Z$150,COLUMN('Species Library'!L128),FALSE))</f>
        <v/>
      </c>
      <c r="O132" s="30" t="str">
        <f>IF(ISNA(VLOOKUP($A132,'Species Library'!$A$6:$Z$150,COLUMN('Species Library'!M128),FALSE)), "",VLOOKUP($A132,'Species Library'!$A$6:$Z$150,COLUMN('Species Library'!M128),FALSE))</f>
        <v/>
      </c>
      <c r="P132" s="30" t="str">
        <f>IF(ISNA(VLOOKUP($A132,'Species Library'!$A$6:$Z$150,COLUMN('Species Library'!N128),FALSE)), "",VLOOKUP($A132,'Species Library'!$A$6:$Z$150,COLUMN('Species Library'!N128),FALSE))</f>
        <v/>
      </c>
      <c r="Q132" s="30" t="str">
        <f t="shared" si="6"/>
        <v/>
      </c>
      <c r="R132" s="30" t="str">
        <f>IF(ISNA(VLOOKUP($A132,'Species Library'!$A$6:$Z$150,COLUMN('Species Library'!O128),FALSE)), "",VLOOKUP($A132,'Species Library'!$A$6:$Z$150,COLUMN('Species Library'!O128),FALSE))</f>
        <v/>
      </c>
      <c r="S132" s="30" t="str">
        <f>IF(ISNA(VLOOKUP($A132,'Species Library'!$A$6:$Z$150,COLUMN('Species Library'!P128),FALSE)), "",VLOOKUP($A132,'Species Library'!$A$6:$Z$150,COLUMN('Species Library'!P128),FALSE))</f>
        <v/>
      </c>
      <c r="T132" s="30" t="str">
        <f>IF(ISNA(VLOOKUP($A132,'Species Library'!$A$6:$Z$150,COLUMN('Species Library'!Q128),FALSE)), "",VLOOKUP($A132,'Species Library'!$A$6:$Z$150,COLUMN('Species Library'!Q128),FALSE))</f>
        <v/>
      </c>
      <c r="U132" s="30" t="str">
        <f>IF(ISNA(VLOOKUP($A132,'Species Library'!$A$6:$Z$150,COLUMN('Species Library'!R128),FALSE)), "",VLOOKUP($A132,'Species Library'!$A$6:$Z$150,COLUMN('Species Library'!R128),FALSE))</f>
        <v/>
      </c>
      <c r="V132" s="30" t="str">
        <f>IF(ISNA(VLOOKUP($A132,'Species Library'!$A$6:$Z$150,COLUMN('Species Library'!S128),FALSE)), "",VLOOKUP($A132,'Species Library'!$A$6:$Z$150,COLUMN('Species Library'!S128),FALSE))</f>
        <v/>
      </c>
      <c r="W132" s="30" t="str">
        <f>IF(ISNA(VLOOKUP($A132,'Species Library'!$A$6:$Z$150,COLUMN('Species Library'!T128),FALSE)), "",VLOOKUP($A132,'Species Library'!$A$6:$Z$150,COLUMN('Species Library'!T128),FALSE))</f>
        <v/>
      </c>
      <c r="X132" s="30" t="str">
        <f t="shared" si="7"/>
        <v/>
      </c>
      <c r="Y132" s="30" t="str">
        <f>IF(ISNA(VLOOKUP($A132,'Species Library'!$A$6:$Z$150,COLUMN('Species Library'!U128),FALSE)), "",VLOOKUP($A132,'Species Library'!$A$6:$Z$150,COLUMN('Species Library'!U128),FALSE))</f>
        <v/>
      </c>
      <c r="Z132" s="30" t="str">
        <f>IF(ISNA(VLOOKUP($A132,'Species Library'!$A$6:$Z$150,COLUMN('Species Library'!V128),FALSE)), "",VLOOKUP($A132,'Species Library'!$A$6:$Z$150,COLUMN('Species Library'!V128),FALSE))</f>
        <v/>
      </c>
      <c r="AA132" s="30" t="str">
        <f>IF(ISNA(VLOOKUP($A132,'Species Library'!$A$6:$Z$150,COLUMN('Species Library'!W128),FALSE)), "",VLOOKUP($A132,'Species Library'!$A$6:$Z$150,COLUMN('Species Library'!W128),FALSE))</f>
        <v/>
      </c>
      <c r="AB132" s="30" t="str">
        <f>IF(ISNA(VLOOKUP($A132,'Species Library'!$A$6:$Z$150,COLUMN('Species Library'!X128),FALSE)), "",VLOOKUP($A132,'Species Library'!$A$6:$Z$150,COLUMN('Species Library'!X128),FALSE))</f>
        <v/>
      </c>
      <c r="AC132" s="30" t="str">
        <f>IF(ISNA(VLOOKUP($A132,'Species Library'!$A$6:$Z$150,COLUMN('Species Library'!Y128),FALSE)), "",VLOOKUP($A132,'Species Library'!$A$6:$Z$150,COLUMN('Species Library'!Y128),FALSE))</f>
        <v/>
      </c>
      <c r="AD132" s="30" t="str">
        <f>IF(ISNA(VLOOKUP($A132,'Species Library'!$A$6:$Z$150,COLUMN('Species Library'!Z128),FALSE)), "",VLOOKUP($A132,'Species Library'!$A$6:$Z$150,COLUMN('Species Library'!Z128),FALSE))</f>
        <v/>
      </c>
    </row>
    <row r="133" spans="2:30" x14ac:dyDescent="0.4">
      <c r="B133" s="30" t="str">
        <f>IF(ISNA(VLOOKUP($A133,'Species Library'!$A$6:$Z$150,COLUMN('Species Library'!B129),FALSE)), "",VLOOKUP($A133,'Species Library'!$A$6:$Z$150,COLUMN('Species Library'!B129),FALSE))</f>
        <v/>
      </c>
      <c r="C133" s="30" t="str">
        <f>IF(ISNA(VLOOKUP($A133,'Species Library'!$A$6:$Z$150,COLUMN('Species Library'!C129),FALSE)), "",VLOOKUP($A133,'Species Library'!$A$6:$Z$150,COLUMN('Species Library'!C129),FALSE))</f>
        <v/>
      </c>
      <c r="D133" s="30" t="str">
        <f>IF(ISNA(VLOOKUP($A133,'Species Library'!$A$6:$Z$150,COLUMN('Species Library'!D129),FALSE)), "",VLOOKUP($A133,'Species Library'!$A$6:$Z$150,COLUMN('Species Library'!D129),FALSE))</f>
        <v/>
      </c>
      <c r="E133" s="30" t="str">
        <f>IF(ISNA(VLOOKUP($A133,'Species Library'!$A$6:$Z$150,COLUMN('Species Library'!E129),FALSE)), "",VLOOKUP($A133,'Species Library'!$A$6:$Z$150,COLUMN('Species Library'!E129),FALSE))</f>
        <v/>
      </c>
      <c r="F133" s="30" t="str">
        <f>IF(ISNA(VLOOKUP($A133,'Species Library'!$A$6:$Z$150,COLUMN('Species Library'!F129),FALSE)), "",VLOOKUP($A133,'Species Library'!$A$6:$Z$150,COLUMN('Species Library'!F129),FALSE))</f>
        <v/>
      </c>
      <c r="G133" s="30" t="str">
        <f t="shared" si="4"/>
        <v/>
      </c>
      <c r="H133" s="30" t="str">
        <f>IF(ISNA(VLOOKUP($A133,'Species Library'!$A$6:$Z$150,COLUMN('Species Library'!G129),FALSE)), "",VLOOKUP($A133,'Species Library'!$A$6:$Z$150,COLUMN('Species Library'!G129),FALSE))</f>
        <v/>
      </c>
      <c r="I133" s="30" t="str">
        <f>IF(ISNA(VLOOKUP($A133,'Species Library'!$A$6:$Z$150,COLUMN('Species Library'!H129),FALSE)), "",VLOOKUP($A133,'Species Library'!$A$6:$Z$150,COLUMN('Species Library'!H129),FALSE))</f>
        <v/>
      </c>
      <c r="J133" s="30" t="str">
        <f>IF(ISNA(VLOOKUP($A133,'Species Library'!$A$6:$Z$150,COLUMN('Species Library'!I129),FALSE)), "",VLOOKUP($A133,'Species Library'!$A$6:$Z$150,COLUMN('Species Library'!I129),FALSE))</f>
        <v/>
      </c>
      <c r="K133" s="30" t="str">
        <f>IF(ISNA(VLOOKUP($A133,'Species Library'!$A$6:$Z$150,COLUMN('Species Library'!J129),FALSE)), "",VLOOKUP($A133,'Species Library'!$A$6:$Z$150,COLUMN('Species Library'!J129),FALSE))</f>
        <v/>
      </c>
      <c r="L133" s="30" t="str">
        <f>IF(ISNA(VLOOKUP($A133,'Species Library'!$A$6:$Z$150,COLUMN('Species Library'!K129),FALSE)), "",VLOOKUP($A133,'Species Library'!$A$6:$Z$150,COLUMN('Species Library'!K129),FALSE))</f>
        <v/>
      </c>
      <c r="M133" s="30" t="str">
        <f t="shared" si="5"/>
        <v/>
      </c>
      <c r="N133" s="30" t="str">
        <f>IF(ISNA(VLOOKUP($A133,'Species Library'!$A$6:$Z$150,COLUMN('Species Library'!L129),FALSE)), "",VLOOKUP($A133,'Species Library'!$A$6:$Z$150,COLUMN('Species Library'!L129),FALSE))</f>
        <v/>
      </c>
      <c r="O133" s="30" t="str">
        <f>IF(ISNA(VLOOKUP($A133,'Species Library'!$A$6:$Z$150,COLUMN('Species Library'!M129),FALSE)), "",VLOOKUP($A133,'Species Library'!$A$6:$Z$150,COLUMN('Species Library'!M129),FALSE))</f>
        <v/>
      </c>
      <c r="P133" s="30" t="str">
        <f>IF(ISNA(VLOOKUP($A133,'Species Library'!$A$6:$Z$150,COLUMN('Species Library'!N129),FALSE)), "",VLOOKUP($A133,'Species Library'!$A$6:$Z$150,COLUMN('Species Library'!N129),FALSE))</f>
        <v/>
      </c>
      <c r="Q133" s="30" t="str">
        <f t="shared" si="6"/>
        <v/>
      </c>
      <c r="R133" s="30" t="str">
        <f>IF(ISNA(VLOOKUP($A133,'Species Library'!$A$6:$Z$150,COLUMN('Species Library'!O129),FALSE)), "",VLOOKUP($A133,'Species Library'!$A$6:$Z$150,COLUMN('Species Library'!O129),FALSE))</f>
        <v/>
      </c>
      <c r="S133" s="30" t="str">
        <f>IF(ISNA(VLOOKUP($A133,'Species Library'!$A$6:$Z$150,COLUMN('Species Library'!P129),FALSE)), "",VLOOKUP($A133,'Species Library'!$A$6:$Z$150,COLUMN('Species Library'!P129),FALSE))</f>
        <v/>
      </c>
      <c r="T133" s="30" t="str">
        <f>IF(ISNA(VLOOKUP($A133,'Species Library'!$A$6:$Z$150,COLUMN('Species Library'!Q129),FALSE)), "",VLOOKUP($A133,'Species Library'!$A$6:$Z$150,COLUMN('Species Library'!Q129),FALSE))</f>
        <v/>
      </c>
      <c r="U133" s="30" t="str">
        <f>IF(ISNA(VLOOKUP($A133,'Species Library'!$A$6:$Z$150,COLUMN('Species Library'!R129),FALSE)), "",VLOOKUP($A133,'Species Library'!$A$6:$Z$150,COLUMN('Species Library'!R129),FALSE))</f>
        <v/>
      </c>
      <c r="V133" s="30" t="str">
        <f>IF(ISNA(VLOOKUP($A133,'Species Library'!$A$6:$Z$150,COLUMN('Species Library'!S129),FALSE)), "",VLOOKUP($A133,'Species Library'!$A$6:$Z$150,COLUMN('Species Library'!S129),FALSE))</f>
        <v/>
      </c>
      <c r="W133" s="30" t="str">
        <f>IF(ISNA(VLOOKUP($A133,'Species Library'!$A$6:$Z$150,COLUMN('Species Library'!T129),FALSE)), "",VLOOKUP($A133,'Species Library'!$A$6:$Z$150,COLUMN('Species Library'!T129),FALSE))</f>
        <v/>
      </c>
      <c r="X133" s="30" t="str">
        <f t="shared" si="7"/>
        <v/>
      </c>
      <c r="Y133" s="30" t="str">
        <f>IF(ISNA(VLOOKUP($A133,'Species Library'!$A$6:$Z$150,COLUMN('Species Library'!U129),FALSE)), "",VLOOKUP($A133,'Species Library'!$A$6:$Z$150,COLUMN('Species Library'!U129),FALSE))</f>
        <v/>
      </c>
      <c r="Z133" s="30" t="str">
        <f>IF(ISNA(VLOOKUP($A133,'Species Library'!$A$6:$Z$150,COLUMN('Species Library'!V129),FALSE)), "",VLOOKUP($A133,'Species Library'!$A$6:$Z$150,COLUMN('Species Library'!V129),FALSE))</f>
        <v/>
      </c>
      <c r="AA133" s="30" t="str">
        <f>IF(ISNA(VLOOKUP($A133,'Species Library'!$A$6:$Z$150,COLUMN('Species Library'!W129),FALSE)), "",VLOOKUP($A133,'Species Library'!$A$6:$Z$150,COLUMN('Species Library'!W129),FALSE))</f>
        <v/>
      </c>
      <c r="AB133" s="30" t="str">
        <f>IF(ISNA(VLOOKUP($A133,'Species Library'!$A$6:$Z$150,COLUMN('Species Library'!X129),FALSE)), "",VLOOKUP($A133,'Species Library'!$A$6:$Z$150,COLUMN('Species Library'!X129),FALSE))</f>
        <v/>
      </c>
      <c r="AC133" s="30" t="str">
        <f>IF(ISNA(VLOOKUP($A133,'Species Library'!$A$6:$Z$150,COLUMN('Species Library'!Y129),FALSE)), "",VLOOKUP($A133,'Species Library'!$A$6:$Z$150,COLUMN('Species Library'!Y129),FALSE))</f>
        <v/>
      </c>
      <c r="AD133" s="30" t="str">
        <f>IF(ISNA(VLOOKUP($A133,'Species Library'!$A$6:$Z$150,COLUMN('Species Library'!Z129),FALSE)), "",VLOOKUP($A133,'Species Library'!$A$6:$Z$150,COLUMN('Species Library'!Z129),FALSE))</f>
        <v/>
      </c>
    </row>
    <row r="134" spans="2:30" x14ac:dyDescent="0.4">
      <c r="B134" s="30" t="str">
        <f>IF(ISNA(VLOOKUP($A134,'Species Library'!$A$6:$Z$150,COLUMN('Species Library'!B130),FALSE)), "",VLOOKUP($A134,'Species Library'!$A$6:$Z$150,COLUMN('Species Library'!B130),FALSE))</f>
        <v/>
      </c>
      <c r="C134" s="30" t="str">
        <f>IF(ISNA(VLOOKUP($A134,'Species Library'!$A$6:$Z$150,COLUMN('Species Library'!C130),FALSE)), "",VLOOKUP($A134,'Species Library'!$A$6:$Z$150,COLUMN('Species Library'!C130),FALSE))</f>
        <v/>
      </c>
      <c r="D134" s="30" t="str">
        <f>IF(ISNA(VLOOKUP($A134,'Species Library'!$A$6:$Z$150,COLUMN('Species Library'!D130),FALSE)), "",VLOOKUP($A134,'Species Library'!$A$6:$Z$150,COLUMN('Species Library'!D130),FALSE))</f>
        <v/>
      </c>
      <c r="E134" s="30" t="str">
        <f>IF(ISNA(VLOOKUP($A134,'Species Library'!$A$6:$Z$150,COLUMN('Species Library'!E130),FALSE)), "",VLOOKUP($A134,'Species Library'!$A$6:$Z$150,COLUMN('Species Library'!E130),FALSE))</f>
        <v/>
      </c>
      <c r="F134" s="30" t="str">
        <f>IF(ISNA(VLOOKUP($A134,'Species Library'!$A$6:$Z$150,COLUMN('Species Library'!F130),FALSE)), "",VLOOKUP($A134,'Species Library'!$A$6:$Z$150,COLUMN('Species Library'!F130),FALSE))</f>
        <v/>
      </c>
      <c r="G134" s="30" t="str">
        <f t="shared" si="4"/>
        <v/>
      </c>
      <c r="H134" s="30" t="str">
        <f>IF(ISNA(VLOOKUP($A134,'Species Library'!$A$6:$Z$150,COLUMN('Species Library'!G130),FALSE)), "",VLOOKUP($A134,'Species Library'!$A$6:$Z$150,COLUMN('Species Library'!G130),FALSE))</f>
        <v/>
      </c>
      <c r="I134" s="30" t="str">
        <f>IF(ISNA(VLOOKUP($A134,'Species Library'!$A$6:$Z$150,COLUMN('Species Library'!H130),FALSE)), "",VLOOKUP($A134,'Species Library'!$A$6:$Z$150,COLUMN('Species Library'!H130),FALSE))</f>
        <v/>
      </c>
      <c r="J134" s="30" t="str">
        <f>IF(ISNA(VLOOKUP($A134,'Species Library'!$A$6:$Z$150,COLUMN('Species Library'!I130),FALSE)), "",VLOOKUP($A134,'Species Library'!$A$6:$Z$150,COLUMN('Species Library'!I130),FALSE))</f>
        <v/>
      </c>
      <c r="K134" s="30" t="str">
        <f>IF(ISNA(VLOOKUP($A134,'Species Library'!$A$6:$Z$150,COLUMN('Species Library'!J130),FALSE)), "",VLOOKUP($A134,'Species Library'!$A$6:$Z$150,COLUMN('Species Library'!J130),FALSE))</f>
        <v/>
      </c>
      <c r="L134" s="30" t="str">
        <f>IF(ISNA(VLOOKUP($A134,'Species Library'!$A$6:$Z$150,COLUMN('Species Library'!K130),FALSE)), "",VLOOKUP($A134,'Species Library'!$A$6:$Z$150,COLUMN('Species Library'!K130),FALSE))</f>
        <v/>
      </c>
      <c r="M134" s="30" t="str">
        <f t="shared" si="5"/>
        <v/>
      </c>
      <c r="N134" s="30" t="str">
        <f>IF(ISNA(VLOOKUP($A134,'Species Library'!$A$6:$Z$150,COLUMN('Species Library'!L130),FALSE)), "",VLOOKUP($A134,'Species Library'!$A$6:$Z$150,COLUMN('Species Library'!L130),FALSE))</f>
        <v/>
      </c>
      <c r="O134" s="30" t="str">
        <f>IF(ISNA(VLOOKUP($A134,'Species Library'!$A$6:$Z$150,COLUMN('Species Library'!M130),FALSE)), "",VLOOKUP($A134,'Species Library'!$A$6:$Z$150,COLUMN('Species Library'!M130),FALSE))</f>
        <v/>
      </c>
      <c r="P134" s="30" t="str">
        <f>IF(ISNA(VLOOKUP($A134,'Species Library'!$A$6:$Z$150,COLUMN('Species Library'!N130),FALSE)), "",VLOOKUP($A134,'Species Library'!$A$6:$Z$150,COLUMN('Species Library'!N130),FALSE))</f>
        <v/>
      </c>
      <c r="Q134" s="30" t="str">
        <f t="shared" si="6"/>
        <v/>
      </c>
      <c r="R134" s="30" t="str">
        <f>IF(ISNA(VLOOKUP($A134,'Species Library'!$A$6:$Z$150,COLUMN('Species Library'!O130),FALSE)), "",VLOOKUP($A134,'Species Library'!$A$6:$Z$150,COLUMN('Species Library'!O130),FALSE))</f>
        <v/>
      </c>
      <c r="S134" s="30" t="str">
        <f>IF(ISNA(VLOOKUP($A134,'Species Library'!$A$6:$Z$150,COLUMN('Species Library'!P130),FALSE)), "",VLOOKUP($A134,'Species Library'!$A$6:$Z$150,COLUMN('Species Library'!P130),FALSE))</f>
        <v/>
      </c>
      <c r="T134" s="30" t="str">
        <f>IF(ISNA(VLOOKUP($A134,'Species Library'!$A$6:$Z$150,COLUMN('Species Library'!Q130),FALSE)), "",VLOOKUP($A134,'Species Library'!$A$6:$Z$150,COLUMN('Species Library'!Q130),FALSE))</f>
        <v/>
      </c>
      <c r="U134" s="30" t="str">
        <f>IF(ISNA(VLOOKUP($A134,'Species Library'!$A$6:$Z$150,COLUMN('Species Library'!R130),FALSE)), "",VLOOKUP($A134,'Species Library'!$A$6:$Z$150,COLUMN('Species Library'!R130),FALSE))</f>
        <v/>
      </c>
      <c r="V134" s="30" t="str">
        <f>IF(ISNA(VLOOKUP($A134,'Species Library'!$A$6:$Z$150,COLUMN('Species Library'!S130),FALSE)), "",VLOOKUP($A134,'Species Library'!$A$6:$Z$150,COLUMN('Species Library'!S130),FALSE))</f>
        <v/>
      </c>
      <c r="W134" s="30" t="str">
        <f>IF(ISNA(VLOOKUP($A134,'Species Library'!$A$6:$Z$150,COLUMN('Species Library'!T130),FALSE)), "",VLOOKUP($A134,'Species Library'!$A$6:$Z$150,COLUMN('Species Library'!T130),FALSE))</f>
        <v/>
      </c>
      <c r="X134" s="30" t="str">
        <f t="shared" si="7"/>
        <v/>
      </c>
      <c r="Y134" s="30" t="str">
        <f>IF(ISNA(VLOOKUP($A134,'Species Library'!$A$6:$Z$150,COLUMN('Species Library'!U130),FALSE)), "",VLOOKUP($A134,'Species Library'!$A$6:$Z$150,COLUMN('Species Library'!U130),FALSE))</f>
        <v/>
      </c>
      <c r="Z134" s="30" t="str">
        <f>IF(ISNA(VLOOKUP($A134,'Species Library'!$A$6:$Z$150,COLUMN('Species Library'!V130),FALSE)), "",VLOOKUP($A134,'Species Library'!$A$6:$Z$150,COLUMN('Species Library'!V130),FALSE))</f>
        <v/>
      </c>
      <c r="AA134" s="30" t="str">
        <f>IF(ISNA(VLOOKUP($A134,'Species Library'!$A$6:$Z$150,COLUMN('Species Library'!W130),FALSE)), "",VLOOKUP($A134,'Species Library'!$A$6:$Z$150,COLUMN('Species Library'!W130),FALSE))</f>
        <v/>
      </c>
      <c r="AB134" s="30" t="str">
        <f>IF(ISNA(VLOOKUP($A134,'Species Library'!$A$6:$Z$150,COLUMN('Species Library'!X130),FALSE)), "",VLOOKUP($A134,'Species Library'!$A$6:$Z$150,COLUMN('Species Library'!X130),FALSE))</f>
        <v/>
      </c>
      <c r="AC134" s="30" t="str">
        <f>IF(ISNA(VLOOKUP($A134,'Species Library'!$A$6:$Z$150,COLUMN('Species Library'!Y130),FALSE)), "",VLOOKUP($A134,'Species Library'!$A$6:$Z$150,COLUMN('Species Library'!Y130),FALSE))</f>
        <v/>
      </c>
      <c r="AD134" s="30" t="str">
        <f>IF(ISNA(VLOOKUP($A134,'Species Library'!$A$6:$Z$150,COLUMN('Species Library'!Z130),FALSE)), "",VLOOKUP($A134,'Species Library'!$A$6:$Z$150,COLUMN('Species Library'!Z130),FALSE))</f>
        <v/>
      </c>
    </row>
    <row r="135" spans="2:30" x14ac:dyDescent="0.4">
      <c r="B135" s="30" t="str">
        <f>IF(ISNA(VLOOKUP($A135,'Species Library'!$A$6:$Z$150,COLUMN('Species Library'!B131),FALSE)), "",VLOOKUP($A135,'Species Library'!$A$6:$Z$150,COLUMN('Species Library'!B131),FALSE))</f>
        <v/>
      </c>
      <c r="C135" s="30" t="str">
        <f>IF(ISNA(VLOOKUP($A135,'Species Library'!$A$6:$Z$150,COLUMN('Species Library'!C131),FALSE)), "",VLOOKUP($A135,'Species Library'!$A$6:$Z$150,COLUMN('Species Library'!C131),FALSE))</f>
        <v/>
      </c>
      <c r="D135" s="30" t="str">
        <f>IF(ISNA(VLOOKUP($A135,'Species Library'!$A$6:$Z$150,COLUMN('Species Library'!D131),FALSE)), "",VLOOKUP($A135,'Species Library'!$A$6:$Z$150,COLUMN('Species Library'!D131),FALSE))</f>
        <v/>
      </c>
      <c r="E135" s="30" t="str">
        <f>IF(ISNA(VLOOKUP($A135,'Species Library'!$A$6:$Z$150,COLUMN('Species Library'!E131),FALSE)), "",VLOOKUP($A135,'Species Library'!$A$6:$Z$150,COLUMN('Species Library'!E131),FALSE))</f>
        <v/>
      </c>
      <c r="F135" s="30" t="str">
        <f>IF(ISNA(VLOOKUP($A135,'Species Library'!$A$6:$Z$150,COLUMN('Species Library'!F131),FALSE)), "",VLOOKUP($A135,'Species Library'!$A$6:$Z$150,COLUMN('Species Library'!F131),FALSE))</f>
        <v/>
      </c>
      <c r="G135" s="30" t="str">
        <f t="shared" si="4"/>
        <v/>
      </c>
      <c r="H135" s="30" t="str">
        <f>IF(ISNA(VLOOKUP($A135,'Species Library'!$A$6:$Z$150,COLUMN('Species Library'!G131),FALSE)), "",VLOOKUP($A135,'Species Library'!$A$6:$Z$150,COLUMN('Species Library'!G131),FALSE))</f>
        <v/>
      </c>
      <c r="I135" s="30" t="str">
        <f>IF(ISNA(VLOOKUP($A135,'Species Library'!$A$6:$Z$150,COLUMN('Species Library'!H131),FALSE)), "",VLOOKUP($A135,'Species Library'!$A$6:$Z$150,COLUMN('Species Library'!H131),FALSE))</f>
        <v/>
      </c>
      <c r="J135" s="30" t="str">
        <f>IF(ISNA(VLOOKUP($A135,'Species Library'!$A$6:$Z$150,COLUMN('Species Library'!I131),FALSE)), "",VLOOKUP($A135,'Species Library'!$A$6:$Z$150,COLUMN('Species Library'!I131),FALSE))</f>
        <v/>
      </c>
      <c r="K135" s="30" t="str">
        <f>IF(ISNA(VLOOKUP($A135,'Species Library'!$A$6:$Z$150,COLUMN('Species Library'!J131),FALSE)), "",VLOOKUP($A135,'Species Library'!$A$6:$Z$150,COLUMN('Species Library'!J131),FALSE))</f>
        <v/>
      </c>
      <c r="L135" s="30" t="str">
        <f>IF(ISNA(VLOOKUP($A135,'Species Library'!$A$6:$Z$150,COLUMN('Species Library'!K131),FALSE)), "",VLOOKUP($A135,'Species Library'!$A$6:$Z$150,COLUMN('Species Library'!K131),FALSE))</f>
        <v/>
      </c>
      <c r="M135" s="30" t="str">
        <f t="shared" si="5"/>
        <v/>
      </c>
      <c r="N135" s="30" t="str">
        <f>IF(ISNA(VLOOKUP($A135,'Species Library'!$A$6:$Z$150,COLUMN('Species Library'!L131),FALSE)), "",VLOOKUP($A135,'Species Library'!$A$6:$Z$150,COLUMN('Species Library'!L131),FALSE))</f>
        <v/>
      </c>
      <c r="O135" s="30" t="str">
        <f>IF(ISNA(VLOOKUP($A135,'Species Library'!$A$6:$Z$150,COLUMN('Species Library'!M131),FALSE)), "",VLOOKUP($A135,'Species Library'!$A$6:$Z$150,COLUMN('Species Library'!M131),FALSE))</f>
        <v/>
      </c>
      <c r="P135" s="30" t="str">
        <f>IF(ISNA(VLOOKUP($A135,'Species Library'!$A$6:$Z$150,COLUMN('Species Library'!N131),FALSE)), "",VLOOKUP($A135,'Species Library'!$A$6:$Z$150,COLUMN('Species Library'!N131),FALSE))</f>
        <v/>
      </c>
      <c r="Q135" s="30" t="str">
        <f t="shared" si="6"/>
        <v/>
      </c>
      <c r="R135" s="30" t="str">
        <f>IF(ISNA(VLOOKUP($A135,'Species Library'!$A$6:$Z$150,COLUMN('Species Library'!O131),FALSE)), "",VLOOKUP($A135,'Species Library'!$A$6:$Z$150,COLUMN('Species Library'!O131),FALSE))</f>
        <v/>
      </c>
      <c r="S135" s="30" t="str">
        <f>IF(ISNA(VLOOKUP($A135,'Species Library'!$A$6:$Z$150,COLUMN('Species Library'!P131),FALSE)), "",VLOOKUP($A135,'Species Library'!$A$6:$Z$150,COLUMN('Species Library'!P131),FALSE))</f>
        <v/>
      </c>
      <c r="T135" s="30" t="str">
        <f>IF(ISNA(VLOOKUP($A135,'Species Library'!$A$6:$Z$150,COLUMN('Species Library'!Q131),FALSE)), "",VLOOKUP($A135,'Species Library'!$A$6:$Z$150,COLUMN('Species Library'!Q131),FALSE))</f>
        <v/>
      </c>
      <c r="U135" s="30" t="str">
        <f>IF(ISNA(VLOOKUP($A135,'Species Library'!$A$6:$Z$150,COLUMN('Species Library'!R131),FALSE)), "",VLOOKUP($A135,'Species Library'!$A$6:$Z$150,COLUMN('Species Library'!R131),FALSE))</f>
        <v/>
      </c>
      <c r="V135" s="30" t="str">
        <f>IF(ISNA(VLOOKUP($A135,'Species Library'!$A$6:$Z$150,COLUMN('Species Library'!S131),FALSE)), "",VLOOKUP($A135,'Species Library'!$A$6:$Z$150,COLUMN('Species Library'!S131),FALSE))</f>
        <v/>
      </c>
      <c r="W135" s="30" t="str">
        <f>IF(ISNA(VLOOKUP($A135,'Species Library'!$A$6:$Z$150,COLUMN('Species Library'!T131),FALSE)), "",VLOOKUP($A135,'Species Library'!$A$6:$Z$150,COLUMN('Species Library'!T131),FALSE))</f>
        <v/>
      </c>
      <c r="X135" s="30" t="str">
        <f t="shared" si="7"/>
        <v/>
      </c>
      <c r="Y135" s="30" t="str">
        <f>IF(ISNA(VLOOKUP($A135,'Species Library'!$A$6:$Z$150,COLUMN('Species Library'!U131),FALSE)), "",VLOOKUP($A135,'Species Library'!$A$6:$Z$150,COLUMN('Species Library'!U131),FALSE))</f>
        <v/>
      </c>
      <c r="Z135" s="30" t="str">
        <f>IF(ISNA(VLOOKUP($A135,'Species Library'!$A$6:$Z$150,COLUMN('Species Library'!V131),FALSE)), "",VLOOKUP($A135,'Species Library'!$A$6:$Z$150,COLUMN('Species Library'!V131),FALSE))</f>
        <v/>
      </c>
      <c r="AA135" s="30" t="str">
        <f>IF(ISNA(VLOOKUP($A135,'Species Library'!$A$6:$Z$150,COLUMN('Species Library'!W131),FALSE)), "",VLOOKUP($A135,'Species Library'!$A$6:$Z$150,COLUMN('Species Library'!W131),FALSE))</f>
        <v/>
      </c>
      <c r="AB135" s="30" t="str">
        <f>IF(ISNA(VLOOKUP($A135,'Species Library'!$A$6:$Z$150,COLUMN('Species Library'!X131),FALSE)), "",VLOOKUP($A135,'Species Library'!$A$6:$Z$150,COLUMN('Species Library'!X131),FALSE))</f>
        <v/>
      </c>
      <c r="AC135" s="30" t="str">
        <f>IF(ISNA(VLOOKUP($A135,'Species Library'!$A$6:$Z$150,COLUMN('Species Library'!Y131),FALSE)), "",VLOOKUP($A135,'Species Library'!$A$6:$Z$150,COLUMN('Species Library'!Y131),FALSE))</f>
        <v/>
      </c>
      <c r="AD135" s="30" t="str">
        <f>IF(ISNA(VLOOKUP($A135,'Species Library'!$A$6:$Z$150,COLUMN('Species Library'!Z131),FALSE)), "",VLOOKUP($A135,'Species Library'!$A$6:$Z$150,COLUMN('Species Library'!Z131),FALSE))</f>
        <v/>
      </c>
    </row>
    <row r="136" spans="2:30" x14ac:dyDescent="0.4">
      <c r="B136" s="30" t="str">
        <f>IF(ISNA(VLOOKUP($A136,'Species Library'!$A$6:$Z$150,COLUMN('Species Library'!B132),FALSE)), "",VLOOKUP($A136,'Species Library'!$A$6:$Z$150,COLUMN('Species Library'!B132),FALSE))</f>
        <v/>
      </c>
      <c r="C136" s="30" t="str">
        <f>IF(ISNA(VLOOKUP($A136,'Species Library'!$A$6:$Z$150,COLUMN('Species Library'!C132),FALSE)), "",VLOOKUP($A136,'Species Library'!$A$6:$Z$150,COLUMN('Species Library'!C132),FALSE))</f>
        <v/>
      </c>
      <c r="D136" s="30" t="str">
        <f>IF(ISNA(VLOOKUP($A136,'Species Library'!$A$6:$Z$150,COLUMN('Species Library'!D132),FALSE)), "",VLOOKUP($A136,'Species Library'!$A$6:$Z$150,COLUMN('Species Library'!D132),FALSE))</f>
        <v/>
      </c>
      <c r="E136" s="30" t="str">
        <f>IF(ISNA(VLOOKUP($A136,'Species Library'!$A$6:$Z$150,COLUMN('Species Library'!E132),FALSE)), "",VLOOKUP($A136,'Species Library'!$A$6:$Z$150,COLUMN('Species Library'!E132),FALSE))</f>
        <v/>
      </c>
      <c r="F136" s="30" t="str">
        <f>IF(ISNA(VLOOKUP($A136,'Species Library'!$A$6:$Z$150,COLUMN('Species Library'!F132),FALSE)), "",VLOOKUP($A136,'Species Library'!$A$6:$Z$150,COLUMN('Species Library'!F132),FALSE))</f>
        <v/>
      </c>
      <c r="G136" s="30" t="str">
        <f t="shared" si="4"/>
        <v/>
      </c>
      <c r="H136" s="30" t="str">
        <f>IF(ISNA(VLOOKUP($A136,'Species Library'!$A$6:$Z$150,COLUMN('Species Library'!G132),FALSE)), "",VLOOKUP($A136,'Species Library'!$A$6:$Z$150,COLUMN('Species Library'!G132),FALSE))</f>
        <v/>
      </c>
      <c r="I136" s="30" t="str">
        <f>IF(ISNA(VLOOKUP($A136,'Species Library'!$A$6:$Z$150,COLUMN('Species Library'!H132),FALSE)), "",VLOOKUP($A136,'Species Library'!$A$6:$Z$150,COLUMN('Species Library'!H132),FALSE))</f>
        <v/>
      </c>
      <c r="J136" s="30" t="str">
        <f>IF(ISNA(VLOOKUP($A136,'Species Library'!$A$6:$Z$150,COLUMN('Species Library'!I132),FALSE)), "",VLOOKUP($A136,'Species Library'!$A$6:$Z$150,COLUMN('Species Library'!I132),FALSE))</f>
        <v/>
      </c>
      <c r="K136" s="30" t="str">
        <f>IF(ISNA(VLOOKUP($A136,'Species Library'!$A$6:$Z$150,COLUMN('Species Library'!J132),FALSE)), "",VLOOKUP($A136,'Species Library'!$A$6:$Z$150,COLUMN('Species Library'!J132),FALSE))</f>
        <v/>
      </c>
      <c r="L136" s="30" t="str">
        <f>IF(ISNA(VLOOKUP($A136,'Species Library'!$A$6:$Z$150,COLUMN('Species Library'!K132),FALSE)), "",VLOOKUP($A136,'Species Library'!$A$6:$Z$150,COLUMN('Species Library'!K132),FALSE))</f>
        <v/>
      </c>
      <c r="M136" s="30" t="str">
        <f t="shared" si="5"/>
        <v/>
      </c>
      <c r="N136" s="30" t="str">
        <f>IF(ISNA(VLOOKUP($A136,'Species Library'!$A$6:$Z$150,COLUMN('Species Library'!L132),FALSE)), "",VLOOKUP($A136,'Species Library'!$A$6:$Z$150,COLUMN('Species Library'!L132),FALSE))</f>
        <v/>
      </c>
      <c r="O136" s="30" t="str">
        <f>IF(ISNA(VLOOKUP($A136,'Species Library'!$A$6:$Z$150,COLUMN('Species Library'!M132),FALSE)), "",VLOOKUP($A136,'Species Library'!$A$6:$Z$150,COLUMN('Species Library'!M132),FALSE))</f>
        <v/>
      </c>
      <c r="P136" s="30" t="str">
        <f>IF(ISNA(VLOOKUP($A136,'Species Library'!$A$6:$Z$150,COLUMN('Species Library'!N132),FALSE)), "",VLOOKUP($A136,'Species Library'!$A$6:$Z$150,COLUMN('Species Library'!N132),FALSE))</f>
        <v/>
      </c>
      <c r="Q136" s="30" t="str">
        <f t="shared" si="6"/>
        <v/>
      </c>
      <c r="R136" s="30" t="str">
        <f>IF(ISNA(VLOOKUP($A136,'Species Library'!$A$6:$Z$150,COLUMN('Species Library'!O132),FALSE)), "",VLOOKUP($A136,'Species Library'!$A$6:$Z$150,COLUMN('Species Library'!O132),FALSE))</f>
        <v/>
      </c>
      <c r="S136" s="30" t="str">
        <f>IF(ISNA(VLOOKUP($A136,'Species Library'!$A$6:$Z$150,COLUMN('Species Library'!P132),FALSE)), "",VLOOKUP($A136,'Species Library'!$A$6:$Z$150,COLUMN('Species Library'!P132),FALSE))</f>
        <v/>
      </c>
      <c r="T136" s="30" t="str">
        <f>IF(ISNA(VLOOKUP($A136,'Species Library'!$A$6:$Z$150,COLUMN('Species Library'!Q132),FALSE)), "",VLOOKUP($A136,'Species Library'!$A$6:$Z$150,COLUMN('Species Library'!Q132),FALSE))</f>
        <v/>
      </c>
      <c r="U136" s="30" t="str">
        <f>IF(ISNA(VLOOKUP($A136,'Species Library'!$A$6:$Z$150,COLUMN('Species Library'!R132),FALSE)), "",VLOOKUP($A136,'Species Library'!$A$6:$Z$150,COLUMN('Species Library'!R132),FALSE))</f>
        <v/>
      </c>
      <c r="V136" s="30" t="str">
        <f>IF(ISNA(VLOOKUP($A136,'Species Library'!$A$6:$Z$150,COLUMN('Species Library'!S132),FALSE)), "",VLOOKUP($A136,'Species Library'!$A$6:$Z$150,COLUMN('Species Library'!S132),FALSE))</f>
        <v/>
      </c>
      <c r="W136" s="30" t="str">
        <f>IF(ISNA(VLOOKUP($A136,'Species Library'!$A$6:$Z$150,COLUMN('Species Library'!T132),FALSE)), "",VLOOKUP($A136,'Species Library'!$A$6:$Z$150,COLUMN('Species Library'!T132),FALSE))</f>
        <v/>
      </c>
      <c r="X136" s="30" t="str">
        <f t="shared" si="7"/>
        <v/>
      </c>
      <c r="Y136" s="30" t="str">
        <f>IF(ISNA(VLOOKUP($A136,'Species Library'!$A$6:$Z$150,COLUMN('Species Library'!U132),FALSE)), "",VLOOKUP($A136,'Species Library'!$A$6:$Z$150,COLUMN('Species Library'!U132),FALSE))</f>
        <v/>
      </c>
      <c r="Z136" s="30" t="str">
        <f>IF(ISNA(VLOOKUP($A136,'Species Library'!$A$6:$Z$150,COLUMN('Species Library'!V132),FALSE)), "",VLOOKUP($A136,'Species Library'!$A$6:$Z$150,COLUMN('Species Library'!V132),FALSE))</f>
        <v/>
      </c>
      <c r="AA136" s="30" t="str">
        <f>IF(ISNA(VLOOKUP($A136,'Species Library'!$A$6:$Z$150,COLUMN('Species Library'!W132),FALSE)), "",VLOOKUP($A136,'Species Library'!$A$6:$Z$150,COLUMN('Species Library'!W132),FALSE))</f>
        <v/>
      </c>
      <c r="AB136" s="30" t="str">
        <f>IF(ISNA(VLOOKUP($A136,'Species Library'!$A$6:$Z$150,COLUMN('Species Library'!X132),FALSE)), "",VLOOKUP($A136,'Species Library'!$A$6:$Z$150,COLUMN('Species Library'!X132),FALSE))</f>
        <v/>
      </c>
      <c r="AC136" s="30" t="str">
        <f>IF(ISNA(VLOOKUP($A136,'Species Library'!$A$6:$Z$150,COLUMN('Species Library'!Y132),FALSE)), "",VLOOKUP($A136,'Species Library'!$A$6:$Z$150,COLUMN('Species Library'!Y132),FALSE))</f>
        <v/>
      </c>
      <c r="AD136" s="30" t="str">
        <f>IF(ISNA(VLOOKUP($A136,'Species Library'!$A$6:$Z$150,COLUMN('Species Library'!Z132),FALSE)), "",VLOOKUP($A136,'Species Library'!$A$6:$Z$150,COLUMN('Species Library'!Z132),FALSE))</f>
        <v/>
      </c>
    </row>
    <row r="137" spans="2:30" x14ac:dyDescent="0.4">
      <c r="B137" s="30" t="str">
        <f>IF(ISNA(VLOOKUP($A137,'Species Library'!$A$6:$Z$150,COLUMN('Species Library'!B133),FALSE)), "",VLOOKUP($A137,'Species Library'!$A$6:$Z$150,COLUMN('Species Library'!B133),FALSE))</f>
        <v/>
      </c>
      <c r="C137" s="30" t="str">
        <f>IF(ISNA(VLOOKUP($A137,'Species Library'!$A$6:$Z$150,COLUMN('Species Library'!C133),FALSE)), "",VLOOKUP($A137,'Species Library'!$A$6:$Z$150,COLUMN('Species Library'!C133),FALSE))</f>
        <v/>
      </c>
      <c r="D137" s="30" t="str">
        <f>IF(ISNA(VLOOKUP($A137,'Species Library'!$A$6:$Z$150,COLUMN('Species Library'!D133),FALSE)), "",VLOOKUP($A137,'Species Library'!$A$6:$Z$150,COLUMN('Species Library'!D133),FALSE))</f>
        <v/>
      </c>
      <c r="E137" s="30" t="str">
        <f>IF(ISNA(VLOOKUP($A137,'Species Library'!$A$6:$Z$150,COLUMN('Species Library'!E133),FALSE)), "",VLOOKUP($A137,'Species Library'!$A$6:$Z$150,COLUMN('Species Library'!E133),FALSE))</f>
        <v/>
      </c>
      <c r="F137" s="30" t="str">
        <f>IF(ISNA(VLOOKUP($A137,'Species Library'!$A$6:$Z$150,COLUMN('Species Library'!F133),FALSE)), "",VLOOKUP($A137,'Species Library'!$A$6:$Z$150,COLUMN('Species Library'!F133),FALSE))</f>
        <v/>
      </c>
      <c r="G137" s="30" t="str">
        <f t="shared" si="4"/>
        <v/>
      </c>
      <c r="H137" s="30" t="str">
        <f>IF(ISNA(VLOOKUP($A137,'Species Library'!$A$6:$Z$150,COLUMN('Species Library'!G133),FALSE)), "",VLOOKUP($A137,'Species Library'!$A$6:$Z$150,COLUMN('Species Library'!G133),FALSE))</f>
        <v/>
      </c>
      <c r="I137" s="30" t="str">
        <f>IF(ISNA(VLOOKUP($A137,'Species Library'!$A$6:$Z$150,COLUMN('Species Library'!H133),FALSE)), "",VLOOKUP($A137,'Species Library'!$A$6:$Z$150,COLUMN('Species Library'!H133),FALSE))</f>
        <v/>
      </c>
      <c r="J137" s="30" t="str">
        <f>IF(ISNA(VLOOKUP($A137,'Species Library'!$A$6:$Z$150,COLUMN('Species Library'!I133),FALSE)), "",VLOOKUP($A137,'Species Library'!$A$6:$Z$150,COLUMN('Species Library'!I133),FALSE))</f>
        <v/>
      </c>
      <c r="K137" s="30" t="str">
        <f>IF(ISNA(VLOOKUP($A137,'Species Library'!$A$6:$Z$150,COLUMN('Species Library'!J133),FALSE)), "",VLOOKUP($A137,'Species Library'!$A$6:$Z$150,COLUMN('Species Library'!J133),FALSE))</f>
        <v/>
      </c>
      <c r="L137" s="30" t="str">
        <f>IF(ISNA(VLOOKUP($A137,'Species Library'!$A$6:$Z$150,COLUMN('Species Library'!K133),FALSE)), "",VLOOKUP($A137,'Species Library'!$A$6:$Z$150,COLUMN('Species Library'!K133),FALSE))</f>
        <v/>
      </c>
      <c r="M137" s="30" t="str">
        <f t="shared" si="5"/>
        <v/>
      </c>
      <c r="N137" s="30" t="str">
        <f>IF(ISNA(VLOOKUP($A137,'Species Library'!$A$6:$Z$150,COLUMN('Species Library'!L133),FALSE)), "",VLOOKUP($A137,'Species Library'!$A$6:$Z$150,COLUMN('Species Library'!L133),FALSE))</f>
        <v/>
      </c>
      <c r="O137" s="30" t="str">
        <f>IF(ISNA(VLOOKUP($A137,'Species Library'!$A$6:$Z$150,COLUMN('Species Library'!M133),FALSE)), "",VLOOKUP($A137,'Species Library'!$A$6:$Z$150,COLUMN('Species Library'!M133),FALSE))</f>
        <v/>
      </c>
      <c r="P137" s="30" t="str">
        <f>IF(ISNA(VLOOKUP($A137,'Species Library'!$A$6:$Z$150,COLUMN('Species Library'!N133),FALSE)), "",VLOOKUP($A137,'Species Library'!$A$6:$Z$150,COLUMN('Species Library'!N133),FALSE))</f>
        <v/>
      </c>
      <c r="Q137" s="30" t="str">
        <f t="shared" si="6"/>
        <v/>
      </c>
      <c r="R137" s="30" t="str">
        <f>IF(ISNA(VLOOKUP($A137,'Species Library'!$A$6:$Z$150,COLUMN('Species Library'!O133),FALSE)), "",VLOOKUP($A137,'Species Library'!$A$6:$Z$150,COLUMN('Species Library'!O133),FALSE))</f>
        <v/>
      </c>
      <c r="S137" s="30" t="str">
        <f>IF(ISNA(VLOOKUP($A137,'Species Library'!$A$6:$Z$150,COLUMN('Species Library'!P133),FALSE)), "",VLOOKUP($A137,'Species Library'!$A$6:$Z$150,COLUMN('Species Library'!P133),FALSE))</f>
        <v/>
      </c>
      <c r="T137" s="30" t="str">
        <f>IF(ISNA(VLOOKUP($A137,'Species Library'!$A$6:$Z$150,COLUMN('Species Library'!Q133),FALSE)), "",VLOOKUP($A137,'Species Library'!$A$6:$Z$150,COLUMN('Species Library'!Q133),FALSE))</f>
        <v/>
      </c>
      <c r="U137" s="30" t="str">
        <f>IF(ISNA(VLOOKUP($A137,'Species Library'!$A$6:$Z$150,COLUMN('Species Library'!R133),FALSE)), "",VLOOKUP($A137,'Species Library'!$A$6:$Z$150,COLUMN('Species Library'!R133),FALSE))</f>
        <v/>
      </c>
      <c r="V137" s="30" t="str">
        <f>IF(ISNA(VLOOKUP($A137,'Species Library'!$A$6:$Z$150,COLUMN('Species Library'!S133),FALSE)), "",VLOOKUP($A137,'Species Library'!$A$6:$Z$150,COLUMN('Species Library'!S133),FALSE))</f>
        <v/>
      </c>
      <c r="W137" s="30" t="str">
        <f>IF(ISNA(VLOOKUP($A137,'Species Library'!$A$6:$Z$150,COLUMN('Species Library'!T133),FALSE)), "",VLOOKUP($A137,'Species Library'!$A$6:$Z$150,COLUMN('Species Library'!T133),FALSE))</f>
        <v/>
      </c>
      <c r="X137" s="30" t="str">
        <f t="shared" si="7"/>
        <v/>
      </c>
      <c r="Y137" s="30" t="str">
        <f>IF(ISNA(VLOOKUP($A137,'Species Library'!$A$6:$Z$150,COLUMN('Species Library'!U133),FALSE)), "",VLOOKUP($A137,'Species Library'!$A$6:$Z$150,COLUMN('Species Library'!U133),FALSE))</f>
        <v/>
      </c>
      <c r="Z137" s="30" t="str">
        <f>IF(ISNA(VLOOKUP($A137,'Species Library'!$A$6:$Z$150,COLUMN('Species Library'!V133),FALSE)), "",VLOOKUP($A137,'Species Library'!$A$6:$Z$150,COLUMN('Species Library'!V133),FALSE))</f>
        <v/>
      </c>
      <c r="AA137" s="30" t="str">
        <f>IF(ISNA(VLOOKUP($A137,'Species Library'!$A$6:$Z$150,COLUMN('Species Library'!W133),FALSE)), "",VLOOKUP($A137,'Species Library'!$A$6:$Z$150,COLUMN('Species Library'!W133),FALSE))</f>
        <v/>
      </c>
      <c r="AB137" s="30" t="str">
        <f>IF(ISNA(VLOOKUP($A137,'Species Library'!$A$6:$Z$150,COLUMN('Species Library'!X133),FALSE)), "",VLOOKUP($A137,'Species Library'!$A$6:$Z$150,COLUMN('Species Library'!X133),FALSE))</f>
        <v/>
      </c>
      <c r="AC137" s="30" t="str">
        <f>IF(ISNA(VLOOKUP($A137,'Species Library'!$A$6:$Z$150,COLUMN('Species Library'!Y133),FALSE)), "",VLOOKUP($A137,'Species Library'!$A$6:$Z$150,COLUMN('Species Library'!Y133),FALSE))</f>
        <v/>
      </c>
      <c r="AD137" s="30" t="str">
        <f>IF(ISNA(VLOOKUP($A137,'Species Library'!$A$6:$Z$150,COLUMN('Species Library'!Z133),FALSE)), "",VLOOKUP($A137,'Species Library'!$A$6:$Z$150,COLUMN('Species Library'!Z133),FALSE))</f>
        <v/>
      </c>
    </row>
    <row r="138" spans="2:30" x14ac:dyDescent="0.4">
      <c r="B138" s="30" t="str">
        <f>IF(ISNA(VLOOKUP($A138,'Species Library'!$A$6:$Z$150,COLUMN('Species Library'!B134),FALSE)), "",VLOOKUP($A138,'Species Library'!$A$6:$Z$150,COLUMN('Species Library'!B134),FALSE))</f>
        <v/>
      </c>
      <c r="C138" s="30" t="str">
        <f>IF(ISNA(VLOOKUP($A138,'Species Library'!$A$6:$Z$150,COLUMN('Species Library'!C134),FALSE)), "",VLOOKUP($A138,'Species Library'!$A$6:$Z$150,COLUMN('Species Library'!C134),FALSE))</f>
        <v/>
      </c>
      <c r="D138" s="30" t="str">
        <f>IF(ISNA(VLOOKUP($A138,'Species Library'!$A$6:$Z$150,COLUMN('Species Library'!D134),FALSE)), "",VLOOKUP($A138,'Species Library'!$A$6:$Z$150,COLUMN('Species Library'!D134),FALSE))</f>
        <v/>
      </c>
      <c r="E138" s="30" t="str">
        <f>IF(ISNA(VLOOKUP($A138,'Species Library'!$A$6:$Z$150,COLUMN('Species Library'!E134),FALSE)), "",VLOOKUP($A138,'Species Library'!$A$6:$Z$150,COLUMN('Species Library'!E134),FALSE))</f>
        <v/>
      </c>
      <c r="F138" s="30" t="str">
        <f>IF(ISNA(VLOOKUP($A138,'Species Library'!$A$6:$Z$150,COLUMN('Species Library'!F134),FALSE)), "",VLOOKUP($A138,'Species Library'!$A$6:$Z$150,COLUMN('Species Library'!F134),FALSE))</f>
        <v/>
      </c>
      <c r="G138" s="30" t="str">
        <f t="shared" si="4"/>
        <v/>
      </c>
      <c r="H138" s="30" t="str">
        <f>IF(ISNA(VLOOKUP($A138,'Species Library'!$A$6:$Z$150,COLUMN('Species Library'!G134),FALSE)), "",VLOOKUP($A138,'Species Library'!$A$6:$Z$150,COLUMN('Species Library'!G134),FALSE))</f>
        <v/>
      </c>
      <c r="I138" s="30" t="str">
        <f>IF(ISNA(VLOOKUP($A138,'Species Library'!$A$6:$Z$150,COLUMN('Species Library'!H134),FALSE)), "",VLOOKUP($A138,'Species Library'!$A$6:$Z$150,COLUMN('Species Library'!H134),FALSE))</f>
        <v/>
      </c>
      <c r="J138" s="30" t="str">
        <f>IF(ISNA(VLOOKUP($A138,'Species Library'!$A$6:$Z$150,COLUMN('Species Library'!I134),FALSE)), "",VLOOKUP($A138,'Species Library'!$A$6:$Z$150,COLUMN('Species Library'!I134),FALSE))</f>
        <v/>
      </c>
      <c r="K138" s="30" t="str">
        <f>IF(ISNA(VLOOKUP($A138,'Species Library'!$A$6:$Z$150,COLUMN('Species Library'!J134),FALSE)), "",VLOOKUP($A138,'Species Library'!$A$6:$Z$150,COLUMN('Species Library'!J134),FALSE))</f>
        <v/>
      </c>
      <c r="L138" s="30" t="str">
        <f>IF(ISNA(VLOOKUP($A138,'Species Library'!$A$6:$Z$150,COLUMN('Species Library'!K134),FALSE)), "",VLOOKUP($A138,'Species Library'!$A$6:$Z$150,COLUMN('Species Library'!K134),FALSE))</f>
        <v/>
      </c>
      <c r="M138" s="30" t="str">
        <f t="shared" si="5"/>
        <v/>
      </c>
      <c r="N138" s="30" t="str">
        <f>IF(ISNA(VLOOKUP($A138,'Species Library'!$A$6:$Z$150,COLUMN('Species Library'!L134),FALSE)), "",VLOOKUP($A138,'Species Library'!$A$6:$Z$150,COLUMN('Species Library'!L134),FALSE))</f>
        <v/>
      </c>
      <c r="O138" s="30" t="str">
        <f>IF(ISNA(VLOOKUP($A138,'Species Library'!$A$6:$Z$150,COLUMN('Species Library'!M134),FALSE)), "",VLOOKUP($A138,'Species Library'!$A$6:$Z$150,COLUMN('Species Library'!M134),FALSE))</f>
        <v/>
      </c>
      <c r="P138" s="30" t="str">
        <f>IF(ISNA(VLOOKUP($A138,'Species Library'!$A$6:$Z$150,COLUMN('Species Library'!N134),FALSE)), "",VLOOKUP($A138,'Species Library'!$A$6:$Z$150,COLUMN('Species Library'!N134),FALSE))</f>
        <v/>
      </c>
      <c r="Q138" s="30" t="str">
        <f t="shared" si="6"/>
        <v/>
      </c>
      <c r="R138" s="30" t="str">
        <f>IF(ISNA(VLOOKUP($A138,'Species Library'!$A$6:$Z$150,COLUMN('Species Library'!O134),FALSE)), "",VLOOKUP($A138,'Species Library'!$A$6:$Z$150,COLUMN('Species Library'!O134),FALSE))</f>
        <v/>
      </c>
      <c r="S138" s="30" t="str">
        <f>IF(ISNA(VLOOKUP($A138,'Species Library'!$A$6:$Z$150,COLUMN('Species Library'!P134),FALSE)), "",VLOOKUP($A138,'Species Library'!$A$6:$Z$150,COLUMN('Species Library'!P134),FALSE))</f>
        <v/>
      </c>
      <c r="T138" s="30" t="str">
        <f>IF(ISNA(VLOOKUP($A138,'Species Library'!$A$6:$Z$150,COLUMN('Species Library'!Q134),FALSE)), "",VLOOKUP($A138,'Species Library'!$A$6:$Z$150,COLUMN('Species Library'!Q134),FALSE))</f>
        <v/>
      </c>
      <c r="U138" s="30" t="str">
        <f>IF(ISNA(VLOOKUP($A138,'Species Library'!$A$6:$Z$150,COLUMN('Species Library'!R134),FALSE)), "",VLOOKUP($A138,'Species Library'!$A$6:$Z$150,COLUMN('Species Library'!R134),FALSE))</f>
        <v/>
      </c>
      <c r="V138" s="30" t="str">
        <f>IF(ISNA(VLOOKUP($A138,'Species Library'!$A$6:$Z$150,COLUMN('Species Library'!S134),FALSE)), "",VLOOKUP($A138,'Species Library'!$A$6:$Z$150,COLUMN('Species Library'!S134),FALSE))</f>
        <v/>
      </c>
      <c r="W138" s="30" t="str">
        <f>IF(ISNA(VLOOKUP($A138,'Species Library'!$A$6:$Z$150,COLUMN('Species Library'!T134),FALSE)), "",VLOOKUP($A138,'Species Library'!$A$6:$Z$150,COLUMN('Species Library'!T134),FALSE))</f>
        <v/>
      </c>
      <c r="X138" s="30" t="str">
        <f t="shared" si="7"/>
        <v/>
      </c>
      <c r="Y138" s="30" t="str">
        <f>IF(ISNA(VLOOKUP($A138,'Species Library'!$A$6:$Z$150,COLUMN('Species Library'!U134),FALSE)), "",VLOOKUP($A138,'Species Library'!$A$6:$Z$150,COLUMN('Species Library'!U134),FALSE))</f>
        <v/>
      </c>
      <c r="Z138" s="30" t="str">
        <f>IF(ISNA(VLOOKUP($A138,'Species Library'!$A$6:$Z$150,COLUMN('Species Library'!V134),FALSE)), "",VLOOKUP($A138,'Species Library'!$A$6:$Z$150,COLUMN('Species Library'!V134),FALSE))</f>
        <v/>
      </c>
      <c r="AA138" s="30" t="str">
        <f>IF(ISNA(VLOOKUP($A138,'Species Library'!$A$6:$Z$150,COLUMN('Species Library'!W134),FALSE)), "",VLOOKUP($A138,'Species Library'!$A$6:$Z$150,COLUMN('Species Library'!W134),FALSE))</f>
        <v/>
      </c>
      <c r="AB138" s="30" t="str">
        <f>IF(ISNA(VLOOKUP($A138,'Species Library'!$A$6:$Z$150,COLUMN('Species Library'!X134),FALSE)), "",VLOOKUP($A138,'Species Library'!$A$6:$Z$150,COLUMN('Species Library'!X134),FALSE))</f>
        <v/>
      </c>
      <c r="AC138" s="30" t="str">
        <f>IF(ISNA(VLOOKUP($A138,'Species Library'!$A$6:$Z$150,COLUMN('Species Library'!Y134),FALSE)), "",VLOOKUP($A138,'Species Library'!$A$6:$Z$150,COLUMN('Species Library'!Y134),FALSE))</f>
        <v/>
      </c>
      <c r="AD138" s="30" t="str">
        <f>IF(ISNA(VLOOKUP($A138,'Species Library'!$A$6:$Z$150,COLUMN('Species Library'!Z134),FALSE)), "",VLOOKUP($A138,'Species Library'!$A$6:$Z$150,COLUMN('Species Library'!Z134),FALSE))</f>
        <v/>
      </c>
    </row>
    <row r="139" spans="2:30" x14ac:dyDescent="0.4">
      <c r="B139" s="30" t="str">
        <f>IF(ISNA(VLOOKUP($A139,'Species Library'!$A$6:$Z$150,COLUMN('Species Library'!B135),FALSE)), "",VLOOKUP($A139,'Species Library'!$A$6:$Z$150,COLUMN('Species Library'!B135),FALSE))</f>
        <v/>
      </c>
      <c r="C139" s="30" t="str">
        <f>IF(ISNA(VLOOKUP($A139,'Species Library'!$A$6:$Z$150,COLUMN('Species Library'!C135),FALSE)), "",VLOOKUP($A139,'Species Library'!$A$6:$Z$150,COLUMN('Species Library'!C135),FALSE))</f>
        <v/>
      </c>
      <c r="D139" s="30" t="str">
        <f>IF(ISNA(VLOOKUP($A139,'Species Library'!$A$6:$Z$150,COLUMN('Species Library'!D135),FALSE)), "",VLOOKUP($A139,'Species Library'!$A$6:$Z$150,COLUMN('Species Library'!D135),FALSE))</f>
        <v/>
      </c>
      <c r="E139" s="30" t="str">
        <f>IF(ISNA(VLOOKUP($A139,'Species Library'!$A$6:$Z$150,COLUMN('Species Library'!E135),FALSE)), "",VLOOKUP($A139,'Species Library'!$A$6:$Z$150,COLUMN('Species Library'!E135),FALSE))</f>
        <v/>
      </c>
      <c r="F139" s="30" t="str">
        <f>IF(ISNA(VLOOKUP($A139,'Species Library'!$A$6:$Z$150,COLUMN('Species Library'!F135),FALSE)), "",VLOOKUP($A139,'Species Library'!$A$6:$Z$150,COLUMN('Species Library'!F135),FALSE))</f>
        <v/>
      </c>
      <c r="G139" s="30" t="str">
        <f t="shared" si="4"/>
        <v/>
      </c>
      <c r="H139" s="30" t="str">
        <f>IF(ISNA(VLOOKUP($A139,'Species Library'!$A$6:$Z$150,COLUMN('Species Library'!G135),FALSE)), "",VLOOKUP($A139,'Species Library'!$A$6:$Z$150,COLUMN('Species Library'!G135),FALSE))</f>
        <v/>
      </c>
      <c r="I139" s="30" t="str">
        <f>IF(ISNA(VLOOKUP($A139,'Species Library'!$A$6:$Z$150,COLUMN('Species Library'!H135),FALSE)), "",VLOOKUP($A139,'Species Library'!$A$6:$Z$150,COLUMN('Species Library'!H135),FALSE))</f>
        <v/>
      </c>
      <c r="J139" s="30" t="str">
        <f>IF(ISNA(VLOOKUP($A139,'Species Library'!$A$6:$Z$150,COLUMN('Species Library'!I135),FALSE)), "",VLOOKUP($A139,'Species Library'!$A$6:$Z$150,COLUMN('Species Library'!I135),FALSE))</f>
        <v/>
      </c>
      <c r="K139" s="30" t="str">
        <f>IF(ISNA(VLOOKUP($A139,'Species Library'!$A$6:$Z$150,COLUMN('Species Library'!J135),FALSE)), "",VLOOKUP($A139,'Species Library'!$A$6:$Z$150,COLUMN('Species Library'!J135),FALSE))</f>
        <v/>
      </c>
      <c r="L139" s="30" t="str">
        <f>IF(ISNA(VLOOKUP($A139,'Species Library'!$A$6:$Z$150,COLUMN('Species Library'!K135),FALSE)), "",VLOOKUP($A139,'Species Library'!$A$6:$Z$150,COLUMN('Species Library'!K135),FALSE))</f>
        <v/>
      </c>
      <c r="M139" s="30" t="str">
        <f t="shared" si="5"/>
        <v/>
      </c>
      <c r="N139" s="30" t="str">
        <f>IF(ISNA(VLOOKUP($A139,'Species Library'!$A$6:$Z$150,COLUMN('Species Library'!L135),FALSE)), "",VLOOKUP($A139,'Species Library'!$A$6:$Z$150,COLUMN('Species Library'!L135),FALSE))</f>
        <v/>
      </c>
      <c r="O139" s="30" t="str">
        <f>IF(ISNA(VLOOKUP($A139,'Species Library'!$A$6:$Z$150,COLUMN('Species Library'!M135),FALSE)), "",VLOOKUP($A139,'Species Library'!$A$6:$Z$150,COLUMN('Species Library'!M135),FALSE))</f>
        <v/>
      </c>
      <c r="P139" s="30" t="str">
        <f>IF(ISNA(VLOOKUP($A139,'Species Library'!$A$6:$Z$150,COLUMN('Species Library'!N135),FALSE)), "",VLOOKUP($A139,'Species Library'!$A$6:$Z$150,COLUMN('Species Library'!N135),FALSE))</f>
        <v/>
      </c>
      <c r="Q139" s="30" t="str">
        <f t="shared" si="6"/>
        <v/>
      </c>
      <c r="R139" s="30" t="str">
        <f>IF(ISNA(VLOOKUP($A139,'Species Library'!$A$6:$Z$150,COLUMN('Species Library'!O135),FALSE)), "",VLOOKUP($A139,'Species Library'!$A$6:$Z$150,COLUMN('Species Library'!O135),FALSE))</f>
        <v/>
      </c>
      <c r="S139" s="30" t="str">
        <f>IF(ISNA(VLOOKUP($A139,'Species Library'!$A$6:$Z$150,COLUMN('Species Library'!P135),FALSE)), "",VLOOKUP($A139,'Species Library'!$A$6:$Z$150,COLUMN('Species Library'!P135),FALSE))</f>
        <v/>
      </c>
      <c r="T139" s="30" t="str">
        <f>IF(ISNA(VLOOKUP($A139,'Species Library'!$A$6:$Z$150,COLUMN('Species Library'!Q135),FALSE)), "",VLOOKUP($A139,'Species Library'!$A$6:$Z$150,COLUMN('Species Library'!Q135),FALSE))</f>
        <v/>
      </c>
      <c r="U139" s="30" t="str">
        <f>IF(ISNA(VLOOKUP($A139,'Species Library'!$A$6:$Z$150,COLUMN('Species Library'!R135),FALSE)), "",VLOOKUP($A139,'Species Library'!$A$6:$Z$150,COLUMN('Species Library'!R135),FALSE))</f>
        <v/>
      </c>
      <c r="V139" s="30" t="str">
        <f>IF(ISNA(VLOOKUP($A139,'Species Library'!$A$6:$Z$150,COLUMN('Species Library'!S135),FALSE)), "",VLOOKUP($A139,'Species Library'!$A$6:$Z$150,COLUMN('Species Library'!S135),FALSE))</f>
        <v/>
      </c>
      <c r="W139" s="30" t="str">
        <f>IF(ISNA(VLOOKUP($A139,'Species Library'!$A$6:$Z$150,COLUMN('Species Library'!T135),FALSE)), "",VLOOKUP($A139,'Species Library'!$A$6:$Z$150,COLUMN('Species Library'!T135),FALSE))</f>
        <v/>
      </c>
      <c r="X139" s="30" t="str">
        <f t="shared" si="7"/>
        <v/>
      </c>
      <c r="Y139" s="30" t="str">
        <f>IF(ISNA(VLOOKUP($A139,'Species Library'!$A$6:$Z$150,COLUMN('Species Library'!U135),FALSE)), "",VLOOKUP($A139,'Species Library'!$A$6:$Z$150,COLUMN('Species Library'!U135),FALSE))</f>
        <v/>
      </c>
      <c r="Z139" s="30" t="str">
        <f>IF(ISNA(VLOOKUP($A139,'Species Library'!$A$6:$Z$150,COLUMN('Species Library'!V135),FALSE)), "",VLOOKUP($A139,'Species Library'!$A$6:$Z$150,COLUMN('Species Library'!V135),FALSE))</f>
        <v/>
      </c>
      <c r="AA139" s="30" t="str">
        <f>IF(ISNA(VLOOKUP($A139,'Species Library'!$A$6:$Z$150,COLUMN('Species Library'!W135),FALSE)), "",VLOOKUP($A139,'Species Library'!$A$6:$Z$150,COLUMN('Species Library'!W135),FALSE))</f>
        <v/>
      </c>
      <c r="AB139" s="30" t="str">
        <f>IF(ISNA(VLOOKUP($A139,'Species Library'!$A$6:$Z$150,COLUMN('Species Library'!X135),FALSE)), "",VLOOKUP($A139,'Species Library'!$A$6:$Z$150,COLUMN('Species Library'!X135),FALSE))</f>
        <v/>
      </c>
      <c r="AC139" s="30" t="str">
        <f>IF(ISNA(VLOOKUP($A139,'Species Library'!$A$6:$Z$150,COLUMN('Species Library'!Y135),FALSE)), "",VLOOKUP($A139,'Species Library'!$A$6:$Z$150,COLUMN('Species Library'!Y135),FALSE))</f>
        <v/>
      </c>
      <c r="AD139" s="30" t="str">
        <f>IF(ISNA(VLOOKUP($A139,'Species Library'!$A$6:$Z$150,COLUMN('Species Library'!Z135),FALSE)), "",VLOOKUP($A139,'Species Library'!$A$6:$Z$150,COLUMN('Species Library'!Z135),FALSE))</f>
        <v/>
      </c>
    </row>
    <row r="140" spans="2:30" x14ac:dyDescent="0.4">
      <c r="B140" s="30" t="str">
        <f>IF(ISNA(VLOOKUP($A140,'Species Library'!$A$6:$Z$150,COLUMN('Species Library'!B136),FALSE)), "",VLOOKUP($A140,'Species Library'!$A$6:$Z$150,COLUMN('Species Library'!B136),FALSE))</f>
        <v/>
      </c>
      <c r="C140" s="30" t="str">
        <f>IF(ISNA(VLOOKUP($A140,'Species Library'!$A$6:$Z$150,COLUMN('Species Library'!C136),FALSE)), "",VLOOKUP($A140,'Species Library'!$A$6:$Z$150,COLUMN('Species Library'!C136),FALSE))</f>
        <v/>
      </c>
      <c r="D140" s="30" t="str">
        <f>IF(ISNA(VLOOKUP($A140,'Species Library'!$A$6:$Z$150,COLUMN('Species Library'!D136),FALSE)), "",VLOOKUP($A140,'Species Library'!$A$6:$Z$150,COLUMN('Species Library'!D136),FALSE))</f>
        <v/>
      </c>
      <c r="E140" s="30" t="str">
        <f>IF(ISNA(VLOOKUP($A140,'Species Library'!$A$6:$Z$150,COLUMN('Species Library'!E136),FALSE)), "",VLOOKUP($A140,'Species Library'!$A$6:$Z$150,COLUMN('Species Library'!E136),FALSE))</f>
        <v/>
      </c>
      <c r="F140" s="30" t="str">
        <f>IF(ISNA(VLOOKUP($A140,'Species Library'!$A$6:$Z$150,COLUMN('Species Library'!F136),FALSE)), "",VLOOKUP($A140,'Species Library'!$A$6:$Z$150,COLUMN('Species Library'!F136),FALSE))</f>
        <v/>
      </c>
      <c r="G140" s="30" t="str">
        <f t="shared" ref="G140:G165" si="8">IF(A140="", "",A140)</f>
        <v/>
      </c>
      <c r="H140" s="30" t="str">
        <f>IF(ISNA(VLOOKUP($A140,'Species Library'!$A$6:$Z$150,COLUMN('Species Library'!G136),FALSE)), "",VLOOKUP($A140,'Species Library'!$A$6:$Z$150,COLUMN('Species Library'!G136),FALSE))</f>
        <v/>
      </c>
      <c r="I140" s="30" t="str">
        <f>IF(ISNA(VLOOKUP($A140,'Species Library'!$A$6:$Z$150,COLUMN('Species Library'!H136),FALSE)), "",VLOOKUP($A140,'Species Library'!$A$6:$Z$150,COLUMN('Species Library'!H136),FALSE))</f>
        <v/>
      </c>
      <c r="J140" s="30" t="str">
        <f>IF(ISNA(VLOOKUP($A140,'Species Library'!$A$6:$Z$150,COLUMN('Species Library'!I136),FALSE)), "",VLOOKUP($A140,'Species Library'!$A$6:$Z$150,COLUMN('Species Library'!I136),FALSE))</f>
        <v/>
      </c>
      <c r="K140" s="30" t="str">
        <f>IF(ISNA(VLOOKUP($A140,'Species Library'!$A$6:$Z$150,COLUMN('Species Library'!J136),FALSE)), "",VLOOKUP($A140,'Species Library'!$A$6:$Z$150,COLUMN('Species Library'!J136),FALSE))</f>
        <v/>
      </c>
      <c r="L140" s="30" t="str">
        <f>IF(ISNA(VLOOKUP($A140,'Species Library'!$A$6:$Z$150,COLUMN('Species Library'!K136),FALSE)), "",VLOOKUP($A140,'Species Library'!$A$6:$Z$150,COLUMN('Species Library'!K136),FALSE))</f>
        <v/>
      </c>
      <c r="M140" s="30" t="str">
        <f t="shared" ref="M140:M165" si="9">IF(A140="", "",A140)</f>
        <v/>
      </c>
      <c r="N140" s="30" t="str">
        <f>IF(ISNA(VLOOKUP($A140,'Species Library'!$A$6:$Z$150,COLUMN('Species Library'!L136),FALSE)), "",VLOOKUP($A140,'Species Library'!$A$6:$Z$150,COLUMN('Species Library'!L136),FALSE))</f>
        <v/>
      </c>
      <c r="O140" s="30" t="str">
        <f>IF(ISNA(VLOOKUP($A140,'Species Library'!$A$6:$Z$150,COLUMN('Species Library'!M136),FALSE)), "",VLOOKUP($A140,'Species Library'!$A$6:$Z$150,COLUMN('Species Library'!M136),FALSE))</f>
        <v/>
      </c>
      <c r="P140" s="30" t="str">
        <f>IF(ISNA(VLOOKUP($A140,'Species Library'!$A$6:$Z$150,COLUMN('Species Library'!N136),FALSE)), "",VLOOKUP($A140,'Species Library'!$A$6:$Z$150,COLUMN('Species Library'!N136),FALSE))</f>
        <v/>
      </c>
      <c r="Q140" s="30" t="str">
        <f t="shared" ref="Q140:Q165" si="10">IF(A140="", "",A140)</f>
        <v/>
      </c>
      <c r="R140" s="30" t="str">
        <f>IF(ISNA(VLOOKUP($A140,'Species Library'!$A$6:$Z$150,COLUMN('Species Library'!O136),FALSE)), "",VLOOKUP($A140,'Species Library'!$A$6:$Z$150,COLUMN('Species Library'!O136),FALSE))</f>
        <v/>
      </c>
      <c r="S140" s="30" t="str">
        <f>IF(ISNA(VLOOKUP($A140,'Species Library'!$A$6:$Z$150,COLUMN('Species Library'!P136),FALSE)), "",VLOOKUP($A140,'Species Library'!$A$6:$Z$150,COLUMN('Species Library'!P136),FALSE))</f>
        <v/>
      </c>
      <c r="T140" s="30" t="str">
        <f>IF(ISNA(VLOOKUP($A140,'Species Library'!$A$6:$Z$150,COLUMN('Species Library'!Q136),FALSE)), "",VLOOKUP($A140,'Species Library'!$A$6:$Z$150,COLUMN('Species Library'!Q136),FALSE))</f>
        <v/>
      </c>
      <c r="U140" s="30" t="str">
        <f>IF(ISNA(VLOOKUP($A140,'Species Library'!$A$6:$Z$150,COLUMN('Species Library'!R136),FALSE)), "",VLOOKUP($A140,'Species Library'!$A$6:$Z$150,COLUMN('Species Library'!R136),FALSE))</f>
        <v/>
      </c>
      <c r="V140" s="30" t="str">
        <f>IF(ISNA(VLOOKUP($A140,'Species Library'!$A$6:$Z$150,COLUMN('Species Library'!S136),FALSE)), "",VLOOKUP($A140,'Species Library'!$A$6:$Z$150,COLUMN('Species Library'!S136),FALSE))</f>
        <v/>
      </c>
      <c r="W140" s="30" t="str">
        <f>IF(ISNA(VLOOKUP($A140,'Species Library'!$A$6:$Z$150,COLUMN('Species Library'!T136),FALSE)), "",VLOOKUP($A140,'Species Library'!$A$6:$Z$150,COLUMN('Species Library'!T136),FALSE))</f>
        <v/>
      </c>
      <c r="X140" s="30" t="str">
        <f t="shared" ref="X140:X165" si="11">IF(A140="", "",A140)</f>
        <v/>
      </c>
      <c r="Y140" s="30" t="str">
        <f>IF(ISNA(VLOOKUP($A140,'Species Library'!$A$6:$Z$150,COLUMN('Species Library'!U136),FALSE)), "",VLOOKUP($A140,'Species Library'!$A$6:$Z$150,COLUMN('Species Library'!U136),FALSE))</f>
        <v/>
      </c>
      <c r="Z140" s="30" t="str">
        <f>IF(ISNA(VLOOKUP($A140,'Species Library'!$A$6:$Z$150,COLUMN('Species Library'!V136),FALSE)), "",VLOOKUP($A140,'Species Library'!$A$6:$Z$150,COLUMN('Species Library'!V136),FALSE))</f>
        <v/>
      </c>
      <c r="AA140" s="30" t="str">
        <f>IF(ISNA(VLOOKUP($A140,'Species Library'!$A$6:$Z$150,COLUMN('Species Library'!W136),FALSE)), "",VLOOKUP($A140,'Species Library'!$A$6:$Z$150,COLUMN('Species Library'!W136),FALSE))</f>
        <v/>
      </c>
      <c r="AB140" s="30" t="str">
        <f>IF(ISNA(VLOOKUP($A140,'Species Library'!$A$6:$Z$150,COLUMN('Species Library'!X136),FALSE)), "",VLOOKUP($A140,'Species Library'!$A$6:$Z$150,COLUMN('Species Library'!X136),FALSE))</f>
        <v/>
      </c>
      <c r="AC140" s="30" t="str">
        <f>IF(ISNA(VLOOKUP($A140,'Species Library'!$A$6:$Z$150,COLUMN('Species Library'!Y136),FALSE)), "",VLOOKUP($A140,'Species Library'!$A$6:$Z$150,COLUMN('Species Library'!Y136),FALSE))</f>
        <v/>
      </c>
      <c r="AD140" s="30" t="str">
        <f>IF(ISNA(VLOOKUP($A140,'Species Library'!$A$6:$Z$150,COLUMN('Species Library'!Z136),FALSE)), "",VLOOKUP($A140,'Species Library'!$A$6:$Z$150,COLUMN('Species Library'!Z136),FALSE))</f>
        <v/>
      </c>
    </row>
    <row r="141" spans="2:30" x14ac:dyDescent="0.4">
      <c r="B141" s="30" t="str">
        <f>IF(ISNA(VLOOKUP($A141,'Species Library'!$A$6:$Z$150,COLUMN('Species Library'!B137),FALSE)), "",VLOOKUP($A141,'Species Library'!$A$6:$Z$150,COLUMN('Species Library'!B137),FALSE))</f>
        <v/>
      </c>
      <c r="C141" s="30" t="str">
        <f>IF(ISNA(VLOOKUP($A141,'Species Library'!$A$6:$Z$150,COLUMN('Species Library'!C137),FALSE)), "",VLOOKUP($A141,'Species Library'!$A$6:$Z$150,COLUMN('Species Library'!C137),FALSE))</f>
        <v/>
      </c>
      <c r="D141" s="30" t="str">
        <f>IF(ISNA(VLOOKUP($A141,'Species Library'!$A$6:$Z$150,COLUMN('Species Library'!D137),FALSE)), "",VLOOKUP($A141,'Species Library'!$A$6:$Z$150,COLUMN('Species Library'!D137),FALSE))</f>
        <v/>
      </c>
      <c r="E141" s="30" t="str">
        <f>IF(ISNA(VLOOKUP($A141,'Species Library'!$A$6:$Z$150,COLUMN('Species Library'!E137),FALSE)), "",VLOOKUP($A141,'Species Library'!$A$6:$Z$150,COLUMN('Species Library'!E137),FALSE))</f>
        <v/>
      </c>
      <c r="F141" s="30" t="str">
        <f>IF(ISNA(VLOOKUP($A141,'Species Library'!$A$6:$Z$150,COLUMN('Species Library'!F137),FALSE)), "",VLOOKUP($A141,'Species Library'!$A$6:$Z$150,COLUMN('Species Library'!F137),FALSE))</f>
        <v/>
      </c>
      <c r="G141" s="30" t="str">
        <f t="shared" si="8"/>
        <v/>
      </c>
      <c r="H141" s="30" t="str">
        <f>IF(ISNA(VLOOKUP($A141,'Species Library'!$A$6:$Z$150,COLUMN('Species Library'!G137),FALSE)), "",VLOOKUP($A141,'Species Library'!$A$6:$Z$150,COLUMN('Species Library'!G137),FALSE))</f>
        <v/>
      </c>
      <c r="I141" s="30" t="str">
        <f>IF(ISNA(VLOOKUP($A141,'Species Library'!$A$6:$Z$150,COLUMN('Species Library'!H137),FALSE)), "",VLOOKUP($A141,'Species Library'!$A$6:$Z$150,COLUMN('Species Library'!H137),FALSE))</f>
        <v/>
      </c>
      <c r="J141" s="30" t="str">
        <f>IF(ISNA(VLOOKUP($A141,'Species Library'!$A$6:$Z$150,COLUMN('Species Library'!I137),FALSE)), "",VLOOKUP($A141,'Species Library'!$A$6:$Z$150,COLUMN('Species Library'!I137),FALSE))</f>
        <v/>
      </c>
      <c r="K141" s="30" t="str">
        <f>IF(ISNA(VLOOKUP($A141,'Species Library'!$A$6:$Z$150,COLUMN('Species Library'!J137),FALSE)), "",VLOOKUP($A141,'Species Library'!$A$6:$Z$150,COLUMN('Species Library'!J137),FALSE))</f>
        <v/>
      </c>
      <c r="L141" s="30" t="str">
        <f>IF(ISNA(VLOOKUP($A141,'Species Library'!$A$6:$Z$150,COLUMN('Species Library'!K137),FALSE)), "",VLOOKUP($A141,'Species Library'!$A$6:$Z$150,COLUMN('Species Library'!K137),FALSE))</f>
        <v/>
      </c>
      <c r="M141" s="30" t="str">
        <f t="shared" si="9"/>
        <v/>
      </c>
      <c r="N141" s="30" t="str">
        <f>IF(ISNA(VLOOKUP($A141,'Species Library'!$A$6:$Z$150,COLUMN('Species Library'!L137),FALSE)), "",VLOOKUP($A141,'Species Library'!$A$6:$Z$150,COLUMN('Species Library'!L137),FALSE))</f>
        <v/>
      </c>
      <c r="O141" s="30" t="str">
        <f>IF(ISNA(VLOOKUP($A141,'Species Library'!$A$6:$Z$150,COLUMN('Species Library'!M137),FALSE)), "",VLOOKUP($A141,'Species Library'!$A$6:$Z$150,COLUMN('Species Library'!M137),FALSE))</f>
        <v/>
      </c>
      <c r="P141" s="30" t="str">
        <f>IF(ISNA(VLOOKUP($A141,'Species Library'!$A$6:$Z$150,COLUMN('Species Library'!N137),FALSE)), "",VLOOKUP($A141,'Species Library'!$A$6:$Z$150,COLUMN('Species Library'!N137),FALSE))</f>
        <v/>
      </c>
      <c r="Q141" s="30" t="str">
        <f t="shared" si="10"/>
        <v/>
      </c>
      <c r="R141" s="30" t="str">
        <f>IF(ISNA(VLOOKUP($A141,'Species Library'!$A$6:$Z$150,COLUMN('Species Library'!O137),FALSE)), "",VLOOKUP($A141,'Species Library'!$A$6:$Z$150,COLUMN('Species Library'!O137),FALSE))</f>
        <v/>
      </c>
      <c r="S141" s="30" t="str">
        <f>IF(ISNA(VLOOKUP($A141,'Species Library'!$A$6:$Z$150,COLUMN('Species Library'!P137),FALSE)), "",VLOOKUP($A141,'Species Library'!$A$6:$Z$150,COLUMN('Species Library'!P137),FALSE))</f>
        <v/>
      </c>
      <c r="T141" s="30" t="str">
        <f>IF(ISNA(VLOOKUP($A141,'Species Library'!$A$6:$Z$150,COLUMN('Species Library'!Q137),FALSE)), "",VLOOKUP($A141,'Species Library'!$A$6:$Z$150,COLUMN('Species Library'!Q137),FALSE))</f>
        <v/>
      </c>
      <c r="U141" s="30" t="str">
        <f>IF(ISNA(VLOOKUP($A141,'Species Library'!$A$6:$Z$150,COLUMN('Species Library'!R137),FALSE)), "",VLOOKUP($A141,'Species Library'!$A$6:$Z$150,COLUMN('Species Library'!R137),FALSE))</f>
        <v/>
      </c>
      <c r="V141" s="30" t="str">
        <f>IF(ISNA(VLOOKUP($A141,'Species Library'!$A$6:$Z$150,COLUMN('Species Library'!S137),FALSE)), "",VLOOKUP($A141,'Species Library'!$A$6:$Z$150,COLUMN('Species Library'!S137),FALSE))</f>
        <v/>
      </c>
      <c r="W141" s="30" t="str">
        <f>IF(ISNA(VLOOKUP($A141,'Species Library'!$A$6:$Z$150,COLUMN('Species Library'!T137),FALSE)), "",VLOOKUP($A141,'Species Library'!$A$6:$Z$150,COLUMN('Species Library'!T137),FALSE))</f>
        <v/>
      </c>
      <c r="X141" s="30" t="str">
        <f t="shared" si="11"/>
        <v/>
      </c>
      <c r="Y141" s="30" t="str">
        <f>IF(ISNA(VLOOKUP($A141,'Species Library'!$A$6:$Z$150,COLUMN('Species Library'!U137),FALSE)), "",VLOOKUP($A141,'Species Library'!$A$6:$Z$150,COLUMN('Species Library'!U137),FALSE))</f>
        <v/>
      </c>
      <c r="Z141" s="30" t="str">
        <f>IF(ISNA(VLOOKUP($A141,'Species Library'!$A$6:$Z$150,COLUMN('Species Library'!V137),FALSE)), "",VLOOKUP($A141,'Species Library'!$A$6:$Z$150,COLUMN('Species Library'!V137),FALSE))</f>
        <v/>
      </c>
      <c r="AA141" s="30" t="str">
        <f>IF(ISNA(VLOOKUP($A141,'Species Library'!$A$6:$Z$150,COLUMN('Species Library'!W137),FALSE)), "",VLOOKUP($A141,'Species Library'!$A$6:$Z$150,COLUMN('Species Library'!W137),FALSE))</f>
        <v/>
      </c>
      <c r="AB141" s="30" t="str">
        <f>IF(ISNA(VLOOKUP($A141,'Species Library'!$A$6:$Z$150,COLUMN('Species Library'!X137),FALSE)), "",VLOOKUP($A141,'Species Library'!$A$6:$Z$150,COLUMN('Species Library'!X137),FALSE))</f>
        <v/>
      </c>
      <c r="AC141" s="30" t="str">
        <f>IF(ISNA(VLOOKUP($A141,'Species Library'!$A$6:$Z$150,COLUMN('Species Library'!Y137),FALSE)), "",VLOOKUP($A141,'Species Library'!$A$6:$Z$150,COLUMN('Species Library'!Y137),FALSE))</f>
        <v/>
      </c>
      <c r="AD141" s="30" t="str">
        <f>IF(ISNA(VLOOKUP($A141,'Species Library'!$A$6:$Z$150,COLUMN('Species Library'!Z137),FALSE)), "",VLOOKUP($A141,'Species Library'!$A$6:$Z$150,COLUMN('Species Library'!Z137),FALSE))</f>
        <v/>
      </c>
    </row>
    <row r="142" spans="2:30" x14ac:dyDescent="0.4">
      <c r="B142" s="30" t="str">
        <f>IF(ISNA(VLOOKUP($A142,'Species Library'!$A$6:$Z$150,COLUMN('Species Library'!B138),FALSE)), "",VLOOKUP($A142,'Species Library'!$A$6:$Z$150,COLUMN('Species Library'!B138),FALSE))</f>
        <v/>
      </c>
      <c r="C142" s="30" t="str">
        <f>IF(ISNA(VLOOKUP($A142,'Species Library'!$A$6:$Z$150,COLUMN('Species Library'!C138),FALSE)), "",VLOOKUP($A142,'Species Library'!$A$6:$Z$150,COLUMN('Species Library'!C138),FALSE))</f>
        <v/>
      </c>
      <c r="D142" s="30" t="str">
        <f>IF(ISNA(VLOOKUP($A142,'Species Library'!$A$6:$Z$150,COLUMN('Species Library'!D138),FALSE)), "",VLOOKUP($A142,'Species Library'!$A$6:$Z$150,COLUMN('Species Library'!D138),FALSE))</f>
        <v/>
      </c>
      <c r="E142" s="30" t="str">
        <f>IF(ISNA(VLOOKUP($A142,'Species Library'!$A$6:$Z$150,COLUMN('Species Library'!E138),FALSE)), "",VLOOKUP($A142,'Species Library'!$A$6:$Z$150,COLUMN('Species Library'!E138),FALSE))</f>
        <v/>
      </c>
      <c r="F142" s="30" t="str">
        <f>IF(ISNA(VLOOKUP($A142,'Species Library'!$A$6:$Z$150,COLUMN('Species Library'!F138),FALSE)), "",VLOOKUP($A142,'Species Library'!$A$6:$Z$150,COLUMN('Species Library'!F138),FALSE))</f>
        <v/>
      </c>
      <c r="G142" s="30" t="str">
        <f t="shared" si="8"/>
        <v/>
      </c>
      <c r="H142" s="30" t="str">
        <f>IF(ISNA(VLOOKUP($A142,'Species Library'!$A$6:$Z$150,COLUMN('Species Library'!G138),FALSE)), "",VLOOKUP($A142,'Species Library'!$A$6:$Z$150,COLUMN('Species Library'!G138),FALSE))</f>
        <v/>
      </c>
      <c r="I142" s="30" t="str">
        <f>IF(ISNA(VLOOKUP($A142,'Species Library'!$A$6:$Z$150,COLUMN('Species Library'!H138),FALSE)), "",VLOOKUP($A142,'Species Library'!$A$6:$Z$150,COLUMN('Species Library'!H138),FALSE))</f>
        <v/>
      </c>
      <c r="J142" s="30" t="str">
        <f>IF(ISNA(VLOOKUP($A142,'Species Library'!$A$6:$Z$150,COLUMN('Species Library'!I138),FALSE)), "",VLOOKUP($A142,'Species Library'!$A$6:$Z$150,COLUMN('Species Library'!I138),FALSE))</f>
        <v/>
      </c>
      <c r="K142" s="30" t="str">
        <f>IF(ISNA(VLOOKUP($A142,'Species Library'!$A$6:$Z$150,COLUMN('Species Library'!J138),FALSE)), "",VLOOKUP($A142,'Species Library'!$A$6:$Z$150,COLUMN('Species Library'!J138),FALSE))</f>
        <v/>
      </c>
      <c r="L142" s="30" t="str">
        <f>IF(ISNA(VLOOKUP($A142,'Species Library'!$A$6:$Z$150,COLUMN('Species Library'!K138),FALSE)), "",VLOOKUP($A142,'Species Library'!$A$6:$Z$150,COLUMN('Species Library'!K138),FALSE))</f>
        <v/>
      </c>
      <c r="M142" s="30" t="str">
        <f t="shared" si="9"/>
        <v/>
      </c>
      <c r="N142" s="30" t="str">
        <f>IF(ISNA(VLOOKUP($A142,'Species Library'!$A$6:$Z$150,COLUMN('Species Library'!L138),FALSE)), "",VLOOKUP($A142,'Species Library'!$A$6:$Z$150,COLUMN('Species Library'!L138),FALSE))</f>
        <v/>
      </c>
      <c r="O142" s="30" t="str">
        <f>IF(ISNA(VLOOKUP($A142,'Species Library'!$A$6:$Z$150,COLUMN('Species Library'!M138),FALSE)), "",VLOOKUP($A142,'Species Library'!$A$6:$Z$150,COLUMN('Species Library'!M138),FALSE))</f>
        <v/>
      </c>
      <c r="P142" s="30" t="str">
        <f>IF(ISNA(VLOOKUP($A142,'Species Library'!$A$6:$Z$150,COLUMN('Species Library'!N138),FALSE)), "",VLOOKUP($A142,'Species Library'!$A$6:$Z$150,COLUMN('Species Library'!N138),FALSE))</f>
        <v/>
      </c>
      <c r="Q142" s="30" t="str">
        <f t="shared" si="10"/>
        <v/>
      </c>
      <c r="R142" s="30" t="str">
        <f>IF(ISNA(VLOOKUP($A142,'Species Library'!$A$6:$Z$150,COLUMN('Species Library'!O138),FALSE)), "",VLOOKUP($A142,'Species Library'!$A$6:$Z$150,COLUMN('Species Library'!O138),FALSE))</f>
        <v/>
      </c>
      <c r="S142" s="30" t="str">
        <f>IF(ISNA(VLOOKUP($A142,'Species Library'!$A$6:$Z$150,COLUMN('Species Library'!P138),FALSE)), "",VLOOKUP($A142,'Species Library'!$A$6:$Z$150,COLUMN('Species Library'!P138),FALSE))</f>
        <v/>
      </c>
      <c r="T142" s="30" t="str">
        <f>IF(ISNA(VLOOKUP($A142,'Species Library'!$A$6:$Z$150,COLUMN('Species Library'!Q138),FALSE)), "",VLOOKUP($A142,'Species Library'!$A$6:$Z$150,COLUMN('Species Library'!Q138),FALSE))</f>
        <v/>
      </c>
      <c r="U142" s="30" t="str">
        <f>IF(ISNA(VLOOKUP($A142,'Species Library'!$A$6:$Z$150,COLUMN('Species Library'!R138),FALSE)), "",VLOOKUP($A142,'Species Library'!$A$6:$Z$150,COLUMN('Species Library'!R138),FALSE))</f>
        <v/>
      </c>
      <c r="V142" s="30" t="str">
        <f>IF(ISNA(VLOOKUP($A142,'Species Library'!$A$6:$Z$150,COLUMN('Species Library'!S138),FALSE)), "",VLOOKUP($A142,'Species Library'!$A$6:$Z$150,COLUMN('Species Library'!S138),FALSE))</f>
        <v/>
      </c>
      <c r="W142" s="30" t="str">
        <f>IF(ISNA(VLOOKUP($A142,'Species Library'!$A$6:$Z$150,COLUMN('Species Library'!T138),FALSE)), "",VLOOKUP($A142,'Species Library'!$A$6:$Z$150,COLUMN('Species Library'!T138),FALSE))</f>
        <v/>
      </c>
      <c r="X142" s="30" t="str">
        <f t="shared" si="11"/>
        <v/>
      </c>
      <c r="Y142" s="30" t="str">
        <f>IF(ISNA(VLOOKUP($A142,'Species Library'!$A$6:$Z$150,COLUMN('Species Library'!U138),FALSE)), "",VLOOKUP($A142,'Species Library'!$A$6:$Z$150,COLUMN('Species Library'!U138),FALSE))</f>
        <v/>
      </c>
      <c r="Z142" s="30" t="str">
        <f>IF(ISNA(VLOOKUP($A142,'Species Library'!$A$6:$Z$150,COLUMN('Species Library'!V138),FALSE)), "",VLOOKUP($A142,'Species Library'!$A$6:$Z$150,COLUMN('Species Library'!V138),FALSE))</f>
        <v/>
      </c>
      <c r="AA142" s="30" t="str">
        <f>IF(ISNA(VLOOKUP($A142,'Species Library'!$A$6:$Z$150,COLUMN('Species Library'!W138),FALSE)), "",VLOOKUP($A142,'Species Library'!$A$6:$Z$150,COLUMN('Species Library'!W138),FALSE))</f>
        <v/>
      </c>
      <c r="AB142" s="30" t="str">
        <f>IF(ISNA(VLOOKUP($A142,'Species Library'!$A$6:$Z$150,COLUMN('Species Library'!X138),FALSE)), "",VLOOKUP($A142,'Species Library'!$A$6:$Z$150,COLUMN('Species Library'!X138),FALSE))</f>
        <v/>
      </c>
      <c r="AC142" s="30" t="str">
        <f>IF(ISNA(VLOOKUP($A142,'Species Library'!$A$6:$Z$150,COLUMN('Species Library'!Y138),FALSE)), "",VLOOKUP($A142,'Species Library'!$A$6:$Z$150,COLUMN('Species Library'!Y138),FALSE))</f>
        <v/>
      </c>
      <c r="AD142" s="30" t="str">
        <f>IF(ISNA(VLOOKUP($A142,'Species Library'!$A$6:$Z$150,COLUMN('Species Library'!Z138),FALSE)), "",VLOOKUP($A142,'Species Library'!$A$6:$Z$150,COLUMN('Species Library'!Z138),FALSE))</f>
        <v/>
      </c>
    </row>
    <row r="143" spans="2:30" x14ac:dyDescent="0.4">
      <c r="B143" s="30" t="str">
        <f>IF(ISNA(VLOOKUP($A143,'Species Library'!$A$6:$Z$150,COLUMN('Species Library'!B139),FALSE)), "",VLOOKUP($A143,'Species Library'!$A$6:$Z$150,COLUMN('Species Library'!B139),FALSE))</f>
        <v/>
      </c>
      <c r="C143" s="30" t="str">
        <f>IF(ISNA(VLOOKUP($A143,'Species Library'!$A$6:$Z$150,COLUMN('Species Library'!C139),FALSE)), "",VLOOKUP($A143,'Species Library'!$A$6:$Z$150,COLUMN('Species Library'!C139),FALSE))</f>
        <v/>
      </c>
      <c r="D143" s="30" t="str">
        <f>IF(ISNA(VLOOKUP($A143,'Species Library'!$A$6:$Z$150,COLUMN('Species Library'!D139),FALSE)), "",VLOOKUP($A143,'Species Library'!$A$6:$Z$150,COLUMN('Species Library'!D139),FALSE))</f>
        <v/>
      </c>
      <c r="E143" s="30" t="str">
        <f>IF(ISNA(VLOOKUP($A143,'Species Library'!$A$6:$Z$150,COLUMN('Species Library'!E139),FALSE)), "",VLOOKUP($A143,'Species Library'!$A$6:$Z$150,COLUMN('Species Library'!E139),FALSE))</f>
        <v/>
      </c>
      <c r="F143" s="30" t="str">
        <f>IF(ISNA(VLOOKUP($A143,'Species Library'!$A$6:$Z$150,COLUMN('Species Library'!F139),FALSE)), "",VLOOKUP($A143,'Species Library'!$A$6:$Z$150,COLUMN('Species Library'!F139),FALSE))</f>
        <v/>
      </c>
      <c r="G143" s="30" t="str">
        <f t="shared" si="8"/>
        <v/>
      </c>
      <c r="H143" s="30" t="str">
        <f>IF(ISNA(VLOOKUP($A143,'Species Library'!$A$6:$Z$150,COLUMN('Species Library'!G139),FALSE)), "",VLOOKUP($A143,'Species Library'!$A$6:$Z$150,COLUMN('Species Library'!G139),FALSE))</f>
        <v/>
      </c>
      <c r="I143" s="30" t="str">
        <f>IF(ISNA(VLOOKUP($A143,'Species Library'!$A$6:$Z$150,COLUMN('Species Library'!H139),FALSE)), "",VLOOKUP($A143,'Species Library'!$A$6:$Z$150,COLUMN('Species Library'!H139),FALSE))</f>
        <v/>
      </c>
      <c r="J143" s="30" t="str">
        <f>IF(ISNA(VLOOKUP($A143,'Species Library'!$A$6:$Z$150,COLUMN('Species Library'!I139),FALSE)), "",VLOOKUP($A143,'Species Library'!$A$6:$Z$150,COLUMN('Species Library'!I139),FALSE))</f>
        <v/>
      </c>
      <c r="K143" s="30" t="str">
        <f>IF(ISNA(VLOOKUP($A143,'Species Library'!$A$6:$Z$150,COLUMN('Species Library'!J139),FALSE)), "",VLOOKUP($A143,'Species Library'!$A$6:$Z$150,COLUMN('Species Library'!J139),FALSE))</f>
        <v/>
      </c>
      <c r="L143" s="30" t="str">
        <f>IF(ISNA(VLOOKUP($A143,'Species Library'!$A$6:$Z$150,COLUMN('Species Library'!K139),FALSE)), "",VLOOKUP($A143,'Species Library'!$A$6:$Z$150,COLUMN('Species Library'!K139),FALSE))</f>
        <v/>
      </c>
      <c r="M143" s="30" t="str">
        <f t="shared" si="9"/>
        <v/>
      </c>
      <c r="N143" s="30" t="str">
        <f>IF(ISNA(VLOOKUP($A143,'Species Library'!$A$6:$Z$150,COLUMN('Species Library'!L139),FALSE)), "",VLOOKUP($A143,'Species Library'!$A$6:$Z$150,COLUMN('Species Library'!L139),FALSE))</f>
        <v/>
      </c>
      <c r="O143" s="30" t="str">
        <f>IF(ISNA(VLOOKUP($A143,'Species Library'!$A$6:$Z$150,COLUMN('Species Library'!M139),FALSE)), "",VLOOKUP($A143,'Species Library'!$A$6:$Z$150,COLUMN('Species Library'!M139),FALSE))</f>
        <v/>
      </c>
      <c r="P143" s="30" t="str">
        <f>IF(ISNA(VLOOKUP($A143,'Species Library'!$A$6:$Z$150,COLUMN('Species Library'!N139),FALSE)), "",VLOOKUP($A143,'Species Library'!$A$6:$Z$150,COLUMN('Species Library'!N139),FALSE))</f>
        <v/>
      </c>
      <c r="Q143" s="30" t="str">
        <f t="shared" si="10"/>
        <v/>
      </c>
      <c r="R143" s="30" t="str">
        <f>IF(ISNA(VLOOKUP($A143,'Species Library'!$A$6:$Z$150,COLUMN('Species Library'!O139),FALSE)), "",VLOOKUP($A143,'Species Library'!$A$6:$Z$150,COLUMN('Species Library'!O139),FALSE))</f>
        <v/>
      </c>
      <c r="S143" s="30" t="str">
        <f>IF(ISNA(VLOOKUP($A143,'Species Library'!$A$6:$Z$150,COLUMN('Species Library'!P139),FALSE)), "",VLOOKUP($A143,'Species Library'!$A$6:$Z$150,COLUMN('Species Library'!P139),FALSE))</f>
        <v/>
      </c>
      <c r="T143" s="30" t="str">
        <f>IF(ISNA(VLOOKUP($A143,'Species Library'!$A$6:$Z$150,COLUMN('Species Library'!Q139),FALSE)), "",VLOOKUP($A143,'Species Library'!$A$6:$Z$150,COLUMN('Species Library'!Q139),FALSE))</f>
        <v/>
      </c>
      <c r="U143" s="30" t="str">
        <f>IF(ISNA(VLOOKUP($A143,'Species Library'!$A$6:$Z$150,COLUMN('Species Library'!R139),FALSE)), "",VLOOKUP($A143,'Species Library'!$A$6:$Z$150,COLUMN('Species Library'!R139),FALSE))</f>
        <v/>
      </c>
      <c r="V143" s="30" t="str">
        <f>IF(ISNA(VLOOKUP($A143,'Species Library'!$A$6:$Z$150,COLUMN('Species Library'!S139),FALSE)), "",VLOOKUP($A143,'Species Library'!$A$6:$Z$150,COLUMN('Species Library'!S139),FALSE))</f>
        <v/>
      </c>
      <c r="W143" s="30" t="str">
        <f>IF(ISNA(VLOOKUP($A143,'Species Library'!$A$6:$Z$150,COLUMN('Species Library'!T139),FALSE)), "",VLOOKUP($A143,'Species Library'!$A$6:$Z$150,COLUMN('Species Library'!T139),FALSE))</f>
        <v/>
      </c>
      <c r="X143" s="30" t="str">
        <f t="shared" si="11"/>
        <v/>
      </c>
      <c r="Y143" s="30" t="str">
        <f>IF(ISNA(VLOOKUP($A143,'Species Library'!$A$6:$Z$150,COLUMN('Species Library'!U139),FALSE)), "",VLOOKUP($A143,'Species Library'!$A$6:$Z$150,COLUMN('Species Library'!U139),FALSE))</f>
        <v/>
      </c>
      <c r="Z143" s="30" t="str">
        <f>IF(ISNA(VLOOKUP($A143,'Species Library'!$A$6:$Z$150,COLUMN('Species Library'!V139),FALSE)), "",VLOOKUP($A143,'Species Library'!$A$6:$Z$150,COLUMN('Species Library'!V139),FALSE))</f>
        <v/>
      </c>
      <c r="AA143" s="30" t="str">
        <f>IF(ISNA(VLOOKUP($A143,'Species Library'!$A$6:$Z$150,COLUMN('Species Library'!W139),FALSE)), "",VLOOKUP($A143,'Species Library'!$A$6:$Z$150,COLUMN('Species Library'!W139),FALSE))</f>
        <v/>
      </c>
      <c r="AB143" s="30" t="str">
        <f>IF(ISNA(VLOOKUP($A143,'Species Library'!$A$6:$Z$150,COLUMN('Species Library'!X139),FALSE)), "",VLOOKUP($A143,'Species Library'!$A$6:$Z$150,COLUMN('Species Library'!X139),FALSE))</f>
        <v/>
      </c>
      <c r="AC143" s="30" t="str">
        <f>IF(ISNA(VLOOKUP($A143,'Species Library'!$A$6:$Z$150,COLUMN('Species Library'!Y139),FALSE)), "",VLOOKUP($A143,'Species Library'!$A$6:$Z$150,COLUMN('Species Library'!Y139),FALSE))</f>
        <v/>
      </c>
      <c r="AD143" s="30" t="str">
        <f>IF(ISNA(VLOOKUP($A143,'Species Library'!$A$6:$Z$150,COLUMN('Species Library'!Z139),FALSE)), "",VLOOKUP($A143,'Species Library'!$A$6:$Z$150,COLUMN('Species Library'!Z139),FALSE))</f>
        <v/>
      </c>
    </row>
    <row r="144" spans="2:30" x14ac:dyDescent="0.4">
      <c r="B144" s="30" t="str">
        <f>IF(ISNA(VLOOKUP($A144,'Species Library'!$A$6:$Z$150,COLUMN('Species Library'!B140),FALSE)), "",VLOOKUP($A144,'Species Library'!$A$6:$Z$150,COLUMN('Species Library'!B140),FALSE))</f>
        <v/>
      </c>
      <c r="C144" s="30" t="str">
        <f>IF(ISNA(VLOOKUP($A144,'Species Library'!$A$6:$Z$150,COLUMN('Species Library'!C140),FALSE)), "",VLOOKUP($A144,'Species Library'!$A$6:$Z$150,COLUMN('Species Library'!C140),FALSE))</f>
        <v/>
      </c>
      <c r="D144" s="30" t="str">
        <f>IF(ISNA(VLOOKUP($A144,'Species Library'!$A$6:$Z$150,COLUMN('Species Library'!D140),FALSE)), "",VLOOKUP($A144,'Species Library'!$A$6:$Z$150,COLUMN('Species Library'!D140),FALSE))</f>
        <v/>
      </c>
      <c r="E144" s="30" t="str">
        <f>IF(ISNA(VLOOKUP($A144,'Species Library'!$A$6:$Z$150,COLUMN('Species Library'!E140),FALSE)), "",VLOOKUP($A144,'Species Library'!$A$6:$Z$150,COLUMN('Species Library'!E140),FALSE))</f>
        <v/>
      </c>
      <c r="F144" s="30" t="str">
        <f>IF(ISNA(VLOOKUP($A144,'Species Library'!$A$6:$Z$150,COLUMN('Species Library'!F140),FALSE)), "",VLOOKUP($A144,'Species Library'!$A$6:$Z$150,COLUMN('Species Library'!F140),FALSE))</f>
        <v/>
      </c>
      <c r="G144" s="30" t="str">
        <f t="shared" si="8"/>
        <v/>
      </c>
      <c r="H144" s="30" t="str">
        <f>IF(ISNA(VLOOKUP($A144,'Species Library'!$A$6:$Z$150,COLUMN('Species Library'!G140),FALSE)), "",VLOOKUP($A144,'Species Library'!$A$6:$Z$150,COLUMN('Species Library'!G140),FALSE))</f>
        <v/>
      </c>
      <c r="I144" s="30" t="str">
        <f>IF(ISNA(VLOOKUP($A144,'Species Library'!$A$6:$Z$150,COLUMN('Species Library'!H140),FALSE)), "",VLOOKUP($A144,'Species Library'!$A$6:$Z$150,COLUMN('Species Library'!H140),FALSE))</f>
        <v/>
      </c>
      <c r="J144" s="30" t="str">
        <f>IF(ISNA(VLOOKUP($A144,'Species Library'!$A$6:$Z$150,COLUMN('Species Library'!I140),FALSE)), "",VLOOKUP($A144,'Species Library'!$A$6:$Z$150,COLUMN('Species Library'!I140),FALSE))</f>
        <v/>
      </c>
      <c r="K144" s="30" t="str">
        <f>IF(ISNA(VLOOKUP($A144,'Species Library'!$A$6:$Z$150,COLUMN('Species Library'!J140),FALSE)), "",VLOOKUP($A144,'Species Library'!$A$6:$Z$150,COLUMN('Species Library'!J140),FALSE))</f>
        <v/>
      </c>
      <c r="L144" s="30" t="str">
        <f>IF(ISNA(VLOOKUP($A144,'Species Library'!$A$6:$Z$150,COLUMN('Species Library'!K140),FALSE)), "",VLOOKUP($A144,'Species Library'!$A$6:$Z$150,COLUMN('Species Library'!K140),FALSE))</f>
        <v/>
      </c>
      <c r="M144" s="30" t="str">
        <f t="shared" si="9"/>
        <v/>
      </c>
      <c r="N144" s="30" t="str">
        <f>IF(ISNA(VLOOKUP($A144,'Species Library'!$A$6:$Z$150,COLUMN('Species Library'!L140),FALSE)), "",VLOOKUP($A144,'Species Library'!$A$6:$Z$150,COLUMN('Species Library'!L140),FALSE))</f>
        <v/>
      </c>
      <c r="O144" s="30" t="str">
        <f>IF(ISNA(VLOOKUP($A144,'Species Library'!$A$6:$Z$150,COLUMN('Species Library'!M140),FALSE)), "",VLOOKUP($A144,'Species Library'!$A$6:$Z$150,COLUMN('Species Library'!M140),FALSE))</f>
        <v/>
      </c>
      <c r="P144" s="30" t="str">
        <f>IF(ISNA(VLOOKUP($A144,'Species Library'!$A$6:$Z$150,COLUMN('Species Library'!N140),FALSE)), "",VLOOKUP($A144,'Species Library'!$A$6:$Z$150,COLUMN('Species Library'!N140),FALSE))</f>
        <v/>
      </c>
      <c r="Q144" s="30" t="str">
        <f t="shared" si="10"/>
        <v/>
      </c>
      <c r="R144" s="30" t="str">
        <f>IF(ISNA(VLOOKUP($A144,'Species Library'!$A$6:$Z$150,COLUMN('Species Library'!O140),FALSE)), "",VLOOKUP($A144,'Species Library'!$A$6:$Z$150,COLUMN('Species Library'!O140),FALSE))</f>
        <v/>
      </c>
      <c r="S144" s="30" t="str">
        <f>IF(ISNA(VLOOKUP($A144,'Species Library'!$A$6:$Z$150,COLUMN('Species Library'!P140),FALSE)), "",VLOOKUP($A144,'Species Library'!$A$6:$Z$150,COLUMN('Species Library'!P140),FALSE))</f>
        <v/>
      </c>
      <c r="T144" s="30" t="str">
        <f>IF(ISNA(VLOOKUP($A144,'Species Library'!$A$6:$Z$150,COLUMN('Species Library'!Q140),FALSE)), "",VLOOKUP($A144,'Species Library'!$A$6:$Z$150,COLUMN('Species Library'!Q140),FALSE))</f>
        <v/>
      </c>
      <c r="U144" s="30" t="str">
        <f>IF(ISNA(VLOOKUP($A144,'Species Library'!$A$6:$Z$150,COLUMN('Species Library'!R140),FALSE)), "",VLOOKUP($A144,'Species Library'!$A$6:$Z$150,COLUMN('Species Library'!R140),FALSE))</f>
        <v/>
      </c>
      <c r="V144" s="30" t="str">
        <f>IF(ISNA(VLOOKUP($A144,'Species Library'!$A$6:$Z$150,COLUMN('Species Library'!S140),FALSE)), "",VLOOKUP($A144,'Species Library'!$A$6:$Z$150,COLUMN('Species Library'!S140),FALSE))</f>
        <v/>
      </c>
      <c r="W144" s="30" t="str">
        <f>IF(ISNA(VLOOKUP($A144,'Species Library'!$A$6:$Z$150,COLUMN('Species Library'!T140),FALSE)), "",VLOOKUP($A144,'Species Library'!$A$6:$Z$150,COLUMN('Species Library'!T140),FALSE))</f>
        <v/>
      </c>
      <c r="X144" s="30" t="str">
        <f t="shared" si="11"/>
        <v/>
      </c>
      <c r="Y144" s="30" t="str">
        <f>IF(ISNA(VLOOKUP($A144,'Species Library'!$A$6:$Z$150,COLUMN('Species Library'!U140),FALSE)), "",VLOOKUP($A144,'Species Library'!$A$6:$Z$150,COLUMN('Species Library'!U140),FALSE))</f>
        <v/>
      </c>
      <c r="Z144" s="30" t="str">
        <f>IF(ISNA(VLOOKUP($A144,'Species Library'!$A$6:$Z$150,COLUMN('Species Library'!V140),FALSE)), "",VLOOKUP($A144,'Species Library'!$A$6:$Z$150,COLUMN('Species Library'!V140),FALSE))</f>
        <v/>
      </c>
      <c r="AA144" s="30" t="str">
        <f>IF(ISNA(VLOOKUP($A144,'Species Library'!$A$6:$Z$150,COLUMN('Species Library'!W140),FALSE)), "",VLOOKUP($A144,'Species Library'!$A$6:$Z$150,COLUMN('Species Library'!W140),FALSE))</f>
        <v/>
      </c>
      <c r="AB144" s="30" t="str">
        <f>IF(ISNA(VLOOKUP($A144,'Species Library'!$A$6:$Z$150,COLUMN('Species Library'!X140),FALSE)), "",VLOOKUP($A144,'Species Library'!$A$6:$Z$150,COLUMN('Species Library'!X140),FALSE))</f>
        <v/>
      </c>
      <c r="AC144" s="30" t="str">
        <f>IF(ISNA(VLOOKUP($A144,'Species Library'!$A$6:$Z$150,COLUMN('Species Library'!Y140),FALSE)), "",VLOOKUP($A144,'Species Library'!$A$6:$Z$150,COLUMN('Species Library'!Y140),FALSE))</f>
        <v/>
      </c>
      <c r="AD144" s="30" t="str">
        <f>IF(ISNA(VLOOKUP($A144,'Species Library'!$A$6:$Z$150,COLUMN('Species Library'!Z140),FALSE)), "",VLOOKUP($A144,'Species Library'!$A$6:$Z$150,COLUMN('Species Library'!Z140),FALSE))</f>
        <v/>
      </c>
    </row>
    <row r="145" spans="2:30" x14ac:dyDescent="0.4">
      <c r="B145" s="30" t="str">
        <f>IF(ISNA(VLOOKUP($A145,'Species Library'!$A$6:$Z$150,COLUMN('Species Library'!B141),FALSE)), "",VLOOKUP($A145,'Species Library'!$A$6:$Z$150,COLUMN('Species Library'!B141),FALSE))</f>
        <v/>
      </c>
      <c r="C145" s="30" t="str">
        <f>IF(ISNA(VLOOKUP($A145,'Species Library'!$A$6:$Z$150,COLUMN('Species Library'!C141),FALSE)), "",VLOOKUP($A145,'Species Library'!$A$6:$Z$150,COLUMN('Species Library'!C141),FALSE))</f>
        <v/>
      </c>
      <c r="D145" s="30" t="str">
        <f>IF(ISNA(VLOOKUP($A145,'Species Library'!$A$6:$Z$150,COLUMN('Species Library'!D141),FALSE)), "",VLOOKUP($A145,'Species Library'!$A$6:$Z$150,COLUMN('Species Library'!D141),FALSE))</f>
        <v/>
      </c>
      <c r="E145" s="30" t="str">
        <f>IF(ISNA(VLOOKUP($A145,'Species Library'!$A$6:$Z$150,COLUMN('Species Library'!E141),FALSE)), "",VLOOKUP($A145,'Species Library'!$A$6:$Z$150,COLUMN('Species Library'!E141),FALSE))</f>
        <v/>
      </c>
      <c r="F145" s="30" t="str">
        <f>IF(ISNA(VLOOKUP($A145,'Species Library'!$A$6:$Z$150,COLUMN('Species Library'!F141),FALSE)), "",VLOOKUP($A145,'Species Library'!$A$6:$Z$150,COLUMN('Species Library'!F141),FALSE))</f>
        <v/>
      </c>
      <c r="G145" s="30" t="str">
        <f t="shared" si="8"/>
        <v/>
      </c>
      <c r="H145" s="30" t="str">
        <f>IF(ISNA(VLOOKUP($A145,'Species Library'!$A$6:$Z$150,COLUMN('Species Library'!G141),FALSE)), "",VLOOKUP($A145,'Species Library'!$A$6:$Z$150,COLUMN('Species Library'!G141),FALSE))</f>
        <v/>
      </c>
      <c r="I145" s="30" t="str">
        <f>IF(ISNA(VLOOKUP($A145,'Species Library'!$A$6:$Z$150,COLUMN('Species Library'!H141),FALSE)), "",VLOOKUP($A145,'Species Library'!$A$6:$Z$150,COLUMN('Species Library'!H141),FALSE))</f>
        <v/>
      </c>
      <c r="J145" s="30" t="str">
        <f>IF(ISNA(VLOOKUP($A145,'Species Library'!$A$6:$Z$150,COLUMN('Species Library'!I141),FALSE)), "",VLOOKUP($A145,'Species Library'!$A$6:$Z$150,COLUMN('Species Library'!I141),FALSE))</f>
        <v/>
      </c>
      <c r="K145" s="30" t="str">
        <f>IF(ISNA(VLOOKUP($A145,'Species Library'!$A$6:$Z$150,COLUMN('Species Library'!J141),FALSE)), "",VLOOKUP($A145,'Species Library'!$A$6:$Z$150,COLUMN('Species Library'!J141),FALSE))</f>
        <v/>
      </c>
      <c r="L145" s="30" t="str">
        <f>IF(ISNA(VLOOKUP($A145,'Species Library'!$A$6:$Z$150,COLUMN('Species Library'!K141),FALSE)), "",VLOOKUP($A145,'Species Library'!$A$6:$Z$150,COLUMN('Species Library'!K141),FALSE))</f>
        <v/>
      </c>
      <c r="M145" s="30" t="str">
        <f t="shared" si="9"/>
        <v/>
      </c>
      <c r="N145" s="30" t="str">
        <f>IF(ISNA(VLOOKUP($A145,'Species Library'!$A$6:$Z$150,COLUMN('Species Library'!L141),FALSE)), "",VLOOKUP($A145,'Species Library'!$A$6:$Z$150,COLUMN('Species Library'!L141),FALSE))</f>
        <v/>
      </c>
      <c r="O145" s="30" t="str">
        <f>IF(ISNA(VLOOKUP($A145,'Species Library'!$A$6:$Z$150,COLUMN('Species Library'!M141),FALSE)), "",VLOOKUP($A145,'Species Library'!$A$6:$Z$150,COLUMN('Species Library'!M141),FALSE))</f>
        <v/>
      </c>
      <c r="P145" s="30" t="str">
        <f>IF(ISNA(VLOOKUP($A145,'Species Library'!$A$6:$Z$150,COLUMN('Species Library'!N141),FALSE)), "",VLOOKUP($A145,'Species Library'!$A$6:$Z$150,COLUMN('Species Library'!N141),FALSE))</f>
        <v/>
      </c>
      <c r="Q145" s="30" t="str">
        <f t="shared" si="10"/>
        <v/>
      </c>
      <c r="R145" s="30" t="str">
        <f>IF(ISNA(VLOOKUP($A145,'Species Library'!$A$6:$Z$150,COLUMN('Species Library'!O141),FALSE)), "",VLOOKUP($A145,'Species Library'!$A$6:$Z$150,COLUMN('Species Library'!O141),FALSE))</f>
        <v/>
      </c>
      <c r="S145" s="30" t="str">
        <f>IF(ISNA(VLOOKUP($A145,'Species Library'!$A$6:$Z$150,COLUMN('Species Library'!P141),FALSE)), "",VLOOKUP($A145,'Species Library'!$A$6:$Z$150,COLUMN('Species Library'!P141),FALSE))</f>
        <v/>
      </c>
      <c r="T145" s="30" t="str">
        <f>IF(ISNA(VLOOKUP($A145,'Species Library'!$A$6:$Z$150,COLUMN('Species Library'!Q141),FALSE)), "",VLOOKUP($A145,'Species Library'!$A$6:$Z$150,COLUMN('Species Library'!Q141),FALSE))</f>
        <v/>
      </c>
      <c r="U145" s="30" t="str">
        <f>IF(ISNA(VLOOKUP($A145,'Species Library'!$A$6:$Z$150,COLUMN('Species Library'!R141),FALSE)), "",VLOOKUP($A145,'Species Library'!$A$6:$Z$150,COLUMN('Species Library'!R141),FALSE))</f>
        <v/>
      </c>
      <c r="V145" s="30" t="str">
        <f>IF(ISNA(VLOOKUP($A145,'Species Library'!$A$6:$Z$150,COLUMN('Species Library'!S141),FALSE)), "",VLOOKUP($A145,'Species Library'!$A$6:$Z$150,COLUMN('Species Library'!S141),FALSE))</f>
        <v/>
      </c>
      <c r="W145" s="30" t="str">
        <f>IF(ISNA(VLOOKUP($A145,'Species Library'!$A$6:$Z$150,COLUMN('Species Library'!T141),FALSE)), "",VLOOKUP($A145,'Species Library'!$A$6:$Z$150,COLUMN('Species Library'!T141),FALSE))</f>
        <v/>
      </c>
      <c r="X145" s="30" t="str">
        <f t="shared" si="11"/>
        <v/>
      </c>
      <c r="Y145" s="30" t="str">
        <f>IF(ISNA(VLOOKUP($A145,'Species Library'!$A$6:$Z$150,COLUMN('Species Library'!U141),FALSE)), "",VLOOKUP($A145,'Species Library'!$A$6:$Z$150,COLUMN('Species Library'!U141),FALSE))</f>
        <v/>
      </c>
      <c r="Z145" s="30" t="str">
        <f>IF(ISNA(VLOOKUP($A145,'Species Library'!$A$6:$Z$150,COLUMN('Species Library'!V141),FALSE)), "",VLOOKUP($A145,'Species Library'!$A$6:$Z$150,COLUMN('Species Library'!V141),FALSE))</f>
        <v/>
      </c>
      <c r="AA145" s="30" t="str">
        <f>IF(ISNA(VLOOKUP($A145,'Species Library'!$A$6:$Z$150,COLUMN('Species Library'!W141),FALSE)), "",VLOOKUP($A145,'Species Library'!$A$6:$Z$150,COLUMN('Species Library'!W141),FALSE))</f>
        <v/>
      </c>
      <c r="AB145" s="30" t="str">
        <f>IF(ISNA(VLOOKUP($A145,'Species Library'!$A$6:$Z$150,COLUMN('Species Library'!X141),FALSE)), "",VLOOKUP($A145,'Species Library'!$A$6:$Z$150,COLUMN('Species Library'!X141),FALSE))</f>
        <v/>
      </c>
      <c r="AC145" s="30" t="str">
        <f>IF(ISNA(VLOOKUP($A145,'Species Library'!$A$6:$Z$150,COLUMN('Species Library'!Y141),FALSE)), "",VLOOKUP($A145,'Species Library'!$A$6:$Z$150,COLUMN('Species Library'!Y141),FALSE))</f>
        <v/>
      </c>
      <c r="AD145" s="30" t="str">
        <f>IF(ISNA(VLOOKUP($A145,'Species Library'!$A$6:$Z$150,COLUMN('Species Library'!Z141),FALSE)), "",VLOOKUP($A145,'Species Library'!$A$6:$Z$150,COLUMN('Species Library'!Z141),FALSE))</f>
        <v/>
      </c>
    </row>
    <row r="146" spans="2:30" x14ac:dyDescent="0.4">
      <c r="B146" s="30" t="str">
        <f>IF(ISNA(VLOOKUP($A146,'Species Library'!$A$6:$Z$150,COLUMN('Species Library'!B142),FALSE)), "",VLOOKUP($A146,'Species Library'!$A$6:$Z$150,COLUMN('Species Library'!B142),FALSE))</f>
        <v/>
      </c>
      <c r="C146" s="30" t="str">
        <f>IF(ISNA(VLOOKUP($A146,'Species Library'!$A$6:$Z$150,COLUMN('Species Library'!C142),FALSE)), "",VLOOKUP($A146,'Species Library'!$A$6:$Z$150,COLUMN('Species Library'!C142),FALSE))</f>
        <v/>
      </c>
      <c r="D146" s="30" t="str">
        <f>IF(ISNA(VLOOKUP($A146,'Species Library'!$A$6:$Z$150,COLUMN('Species Library'!D142),FALSE)), "",VLOOKUP($A146,'Species Library'!$A$6:$Z$150,COLUMN('Species Library'!D142),FALSE))</f>
        <v/>
      </c>
      <c r="E146" s="30" t="str">
        <f>IF(ISNA(VLOOKUP($A146,'Species Library'!$A$6:$Z$150,COLUMN('Species Library'!E142),FALSE)), "",VLOOKUP($A146,'Species Library'!$A$6:$Z$150,COLUMN('Species Library'!E142),FALSE))</f>
        <v/>
      </c>
      <c r="F146" s="30" t="str">
        <f>IF(ISNA(VLOOKUP($A146,'Species Library'!$A$6:$Z$150,COLUMN('Species Library'!F142),FALSE)), "",VLOOKUP($A146,'Species Library'!$A$6:$Z$150,COLUMN('Species Library'!F142),FALSE))</f>
        <v/>
      </c>
      <c r="G146" s="30" t="str">
        <f t="shared" si="8"/>
        <v/>
      </c>
      <c r="H146" s="30" t="str">
        <f>IF(ISNA(VLOOKUP($A146,'Species Library'!$A$6:$Z$150,COLUMN('Species Library'!G142),FALSE)), "",VLOOKUP($A146,'Species Library'!$A$6:$Z$150,COLUMN('Species Library'!G142),FALSE))</f>
        <v/>
      </c>
      <c r="I146" s="30" t="str">
        <f>IF(ISNA(VLOOKUP($A146,'Species Library'!$A$6:$Z$150,COLUMN('Species Library'!H142),FALSE)), "",VLOOKUP($A146,'Species Library'!$A$6:$Z$150,COLUMN('Species Library'!H142),FALSE))</f>
        <v/>
      </c>
      <c r="J146" s="30" t="str">
        <f>IF(ISNA(VLOOKUP($A146,'Species Library'!$A$6:$Z$150,COLUMN('Species Library'!I142),FALSE)), "",VLOOKUP($A146,'Species Library'!$A$6:$Z$150,COLUMN('Species Library'!I142),FALSE))</f>
        <v/>
      </c>
      <c r="K146" s="30" t="str">
        <f>IF(ISNA(VLOOKUP($A146,'Species Library'!$A$6:$Z$150,COLUMN('Species Library'!J142),FALSE)), "",VLOOKUP($A146,'Species Library'!$A$6:$Z$150,COLUMN('Species Library'!J142),FALSE))</f>
        <v/>
      </c>
      <c r="L146" s="30" t="str">
        <f>IF(ISNA(VLOOKUP($A146,'Species Library'!$A$6:$Z$150,COLUMN('Species Library'!K142),FALSE)), "",VLOOKUP($A146,'Species Library'!$A$6:$Z$150,COLUMN('Species Library'!K142),FALSE))</f>
        <v/>
      </c>
      <c r="M146" s="30" t="str">
        <f t="shared" si="9"/>
        <v/>
      </c>
      <c r="N146" s="30" t="str">
        <f>IF(ISNA(VLOOKUP($A146,'Species Library'!$A$6:$Z$150,COLUMN('Species Library'!L142),FALSE)), "",VLOOKUP($A146,'Species Library'!$A$6:$Z$150,COLUMN('Species Library'!L142),FALSE))</f>
        <v/>
      </c>
      <c r="O146" s="30" t="str">
        <f>IF(ISNA(VLOOKUP($A146,'Species Library'!$A$6:$Z$150,COLUMN('Species Library'!M142),FALSE)), "",VLOOKUP($A146,'Species Library'!$A$6:$Z$150,COLUMN('Species Library'!M142),FALSE))</f>
        <v/>
      </c>
      <c r="P146" s="30" t="str">
        <f>IF(ISNA(VLOOKUP($A146,'Species Library'!$A$6:$Z$150,COLUMN('Species Library'!N142),FALSE)), "",VLOOKUP($A146,'Species Library'!$A$6:$Z$150,COLUMN('Species Library'!N142),FALSE))</f>
        <v/>
      </c>
      <c r="Q146" s="30" t="str">
        <f t="shared" si="10"/>
        <v/>
      </c>
      <c r="R146" s="30" t="str">
        <f>IF(ISNA(VLOOKUP($A146,'Species Library'!$A$6:$Z$150,COLUMN('Species Library'!O142),FALSE)), "",VLOOKUP($A146,'Species Library'!$A$6:$Z$150,COLUMN('Species Library'!O142),FALSE))</f>
        <v/>
      </c>
      <c r="S146" s="30" t="str">
        <f>IF(ISNA(VLOOKUP($A146,'Species Library'!$A$6:$Z$150,COLUMN('Species Library'!P142),FALSE)), "",VLOOKUP($A146,'Species Library'!$A$6:$Z$150,COLUMN('Species Library'!P142),FALSE))</f>
        <v/>
      </c>
      <c r="T146" s="30" t="str">
        <f>IF(ISNA(VLOOKUP($A146,'Species Library'!$A$6:$Z$150,COLUMN('Species Library'!Q142),FALSE)), "",VLOOKUP($A146,'Species Library'!$A$6:$Z$150,COLUMN('Species Library'!Q142),FALSE))</f>
        <v/>
      </c>
      <c r="U146" s="30" t="str">
        <f>IF(ISNA(VLOOKUP($A146,'Species Library'!$A$6:$Z$150,COLUMN('Species Library'!R142),FALSE)), "",VLOOKUP($A146,'Species Library'!$A$6:$Z$150,COLUMN('Species Library'!R142),FALSE))</f>
        <v/>
      </c>
      <c r="V146" s="30" t="str">
        <f>IF(ISNA(VLOOKUP($A146,'Species Library'!$A$6:$Z$150,COLUMN('Species Library'!S142),FALSE)), "",VLOOKUP($A146,'Species Library'!$A$6:$Z$150,COLUMN('Species Library'!S142),FALSE))</f>
        <v/>
      </c>
      <c r="W146" s="30" t="str">
        <f>IF(ISNA(VLOOKUP($A146,'Species Library'!$A$6:$Z$150,COLUMN('Species Library'!T142),FALSE)), "",VLOOKUP($A146,'Species Library'!$A$6:$Z$150,COLUMN('Species Library'!T142),FALSE))</f>
        <v/>
      </c>
      <c r="X146" s="30" t="str">
        <f t="shared" si="11"/>
        <v/>
      </c>
      <c r="Y146" s="30" t="str">
        <f>IF(ISNA(VLOOKUP($A146,'Species Library'!$A$6:$Z$150,COLUMN('Species Library'!U142),FALSE)), "",VLOOKUP($A146,'Species Library'!$A$6:$Z$150,COLUMN('Species Library'!U142),FALSE))</f>
        <v/>
      </c>
      <c r="Z146" s="30" t="str">
        <f>IF(ISNA(VLOOKUP($A146,'Species Library'!$A$6:$Z$150,COLUMN('Species Library'!V142),FALSE)), "",VLOOKUP($A146,'Species Library'!$A$6:$Z$150,COLUMN('Species Library'!V142),FALSE))</f>
        <v/>
      </c>
      <c r="AA146" s="30" t="str">
        <f>IF(ISNA(VLOOKUP($A146,'Species Library'!$A$6:$Z$150,COLUMN('Species Library'!W142),FALSE)), "",VLOOKUP($A146,'Species Library'!$A$6:$Z$150,COLUMN('Species Library'!W142),FALSE))</f>
        <v/>
      </c>
      <c r="AB146" s="30" t="str">
        <f>IF(ISNA(VLOOKUP($A146,'Species Library'!$A$6:$Z$150,COLUMN('Species Library'!X142),FALSE)), "",VLOOKUP($A146,'Species Library'!$A$6:$Z$150,COLUMN('Species Library'!X142),FALSE))</f>
        <v/>
      </c>
      <c r="AC146" s="30" t="str">
        <f>IF(ISNA(VLOOKUP($A146,'Species Library'!$A$6:$Z$150,COLUMN('Species Library'!Y142),FALSE)), "",VLOOKUP($A146,'Species Library'!$A$6:$Z$150,COLUMN('Species Library'!Y142),FALSE))</f>
        <v/>
      </c>
      <c r="AD146" s="30" t="str">
        <f>IF(ISNA(VLOOKUP($A146,'Species Library'!$A$6:$Z$150,COLUMN('Species Library'!Z142),FALSE)), "",VLOOKUP($A146,'Species Library'!$A$6:$Z$150,COLUMN('Species Library'!Z142),FALSE))</f>
        <v/>
      </c>
    </row>
    <row r="147" spans="2:30" x14ac:dyDescent="0.4">
      <c r="B147" s="30" t="str">
        <f>IF(ISNA(VLOOKUP($A147,'Species Library'!$A$6:$Z$150,COLUMN('Species Library'!B143),FALSE)), "",VLOOKUP($A147,'Species Library'!$A$6:$Z$150,COLUMN('Species Library'!B143),FALSE))</f>
        <v/>
      </c>
      <c r="C147" s="30" t="str">
        <f>IF(ISNA(VLOOKUP($A147,'Species Library'!$A$6:$Z$150,COLUMN('Species Library'!C143),FALSE)), "",VLOOKUP($A147,'Species Library'!$A$6:$Z$150,COLUMN('Species Library'!C143),FALSE))</f>
        <v/>
      </c>
      <c r="D147" s="30" t="str">
        <f>IF(ISNA(VLOOKUP($A147,'Species Library'!$A$6:$Z$150,COLUMN('Species Library'!D143),FALSE)), "",VLOOKUP($A147,'Species Library'!$A$6:$Z$150,COLUMN('Species Library'!D143),FALSE))</f>
        <v/>
      </c>
      <c r="E147" s="30" t="str">
        <f>IF(ISNA(VLOOKUP($A147,'Species Library'!$A$6:$Z$150,COLUMN('Species Library'!E143),FALSE)), "",VLOOKUP($A147,'Species Library'!$A$6:$Z$150,COLUMN('Species Library'!E143),FALSE))</f>
        <v/>
      </c>
      <c r="F147" s="30" t="str">
        <f>IF(ISNA(VLOOKUP($A147,'Species Library'!$A$6:$Z$150,COLUMN('Species Library'!F143),FALSE)), "",VLOOKUP($A147,'Species Library'!$A$6:$Z$150,COLUMN('Species Library'!F143),FALSE))</f>
        <v/>
      </c>
      <c r="G147" s="30" t="str">
        <f t="shared" si="8"/>
        <v/>
      </c>
      <c r="H147" s="30" t="str">
        <f>IF(ISNA(VLOOKUP($A147,'Species Library'!$A$6:$Z$150,COLUMN('Species Library'!G143),FALSE)), "",VLOOKUP($A147,'Species Library'!$A$6:$Z$150,COLUMN('Species Library'!G143),FALSE))</f>
        <v/>
      </c>
      <c r="I147" s="30" t="str">
        <f>IF(ISNA(VLOOKUP($A147,'Species Library'!$A$6:$Z$150,COLUMN('Species Library'!H143),FALSE)), "",VLOOKUP($A147,'Species Library'!$A$6:$Z$150,COLUMN('Species Library'!H143),FALSE))</f>
        <v/>
      </c>
      <c r="J147" s="30" t="str">
        <f>IF(ISNA(VLOOKUP($A147,'Species Library'!$A$6:$Z$150,COLUMN('Species Library'!I143),FALSE)), "",VLOOKUP($A147,'Species Library'!$A$6:$Z$150,COLUMN('Species Library'!I143),FALSE))</f>
        <v/>
      </c>
      <c r="K147" s="30" t="str">
        <f>IF(ISNA(VLOOKUP($A147,'Species Library'!$A$6:$Z$150,COLUMN('Species Library'!J143),FALSE)), "",VLOOKUP($A147,'Species Library'!$A$6:$Z$150,COLUMN('Species Library'!J143),FALSE))</f>
        <v/>
      </c>
      <c r="L147" s="30" t="str">
        <f>IF(ISNA(VLOOKUP($A147,'Species Library'!$A$6:$Z$150,COLUMN('Species Library'!K143),FALSE)), "",VLOOKUP($A147,'Species Library'!$A$6:$Z$150,COLUMN('Species Library'!K143),FALSE))</f>
        <v/>
      </c>
      <c r="M147" s="30" t="str">
        <f t="shared" si="9"/>
        <v/>
      </c>
      <c r="N147" s="30" t="str">
        <f>IF(ISNA(VLOOKUP($A147,'Species Library'!$A$6:$Z$150,COLUMN('Species Library'!L143),FALSE)), "",VLOOKUP($A147,'Species Library'!$A$6:$Z$150,COLUMN('Species Library'!L143),FALSE))</f>
        <v/>
      </c>
      <c r="O147" s="30" t="str">
        <f>IF(ISNA(VLOOKUP($A147,'Species Library'!$A$6:$Z$150,COLUMN('Species Library'!M143),FALSE)), "",VLOOKUP($A147,'Species Library'!$A$6:$Z$150,COLUMN('Species Library'!M143),FALSE))</f>
        <v/>
      </c>
      <c r="P147" s="30" t="str">
        <f>IF(ISNA(VLOOKUP($A147,'Species Library'!$A$6:$Z$150,COLUMN('Species Library'!N143),FALSE)), "",VLOOKUP($A147,'Species Library'!$A$6:$Z$150,COLUMN('Species Library'!N143),FALSE))</f>
        <v/>
      </c>
      <c r="Q147" s="30" t="str">
        <f t="shared" si="10"/>
        <v/>
      </c>
      <c r="R147" s="30" t="str">
        <f>IF(ISNA(VLOOKUP($A147,'Species Library'!$A$6:$Z$150,COLUMN('Species Library'!O143),FALSE)), "",VLOOKUP($A147,'Species Library'!$A$6:$Z$150,COLUMN('Species Library'!O143),FALSE))</f>
        <v/>
      </c>
      <c r="S147" s="30" t="str">
        <f>IF(ISNA(VLOOKUP($A147,'Species Library'!$A$6:$Z$150,COLUMN('Species Library'!P143),FALSE)), "",VLOOKUP($A147,'Species Library'!$A$6:$Z$150,COLUMN('Species Library'!P143),FALSE))</f>
        <v/>
      </c>
      <c r="T147" s="30" t="str">
        <f>IF(ISNA(VLOOKUP($A147,'Species Library'!$A$6:$Z$150,COLUMN('Species Library'!Q143),FALSE)), "",VLOOKUP($A147,'Species Library'!$A$6:$Z$150,COLUMN('Species Library'!Q143),FALSE))</f>
        <v/>
      </c>
      <c r="U147" s="30" t="str">
        <f>IF(ISNA(VLOOKUP($A147,'Species Library'!$A$6:$Z$150,COLUMN('Species Library'!R143),FALSE)), "",VLOOKUP($A147,'Species Library'!$A$6:$Z$150,COLUMN('Species Library'!R143),FALSE))</f>
        <v/>
      </c>
      <c r="V147" s="30" t="str">
        <f>IF(ISNA(VLOOKUP($A147,'Species Library'!$A$6:$Z$150,COLUMN('Species Library'!S143),FALSE)), "",VLOOKUP($A147,'Species Library'!$A$6:$Z$150,COLUMN('Species Library'!S143),FALSE))</f>
        <v/>
      </c>
      <c r="W147" s="30" t="str">
        <f>IF(ISNA(VLOOKUP($A147,'Species Library'!$A$6:$Z$150,COLUMN('Species Library'!T143),FALSE)), "",VLOOKUP($A147,'Species Library'!$A$6:$Z$150,COLUMN('Species Library'!T143),FALSE))</f>
        <v/>
      </c>
      <c r="X147" s="30" t="str">
        <f t="shared" si="11"/>
        <v/>
      </c>
      <c r="Y147" s="30" t="str">
        <f>IF(ISNA(VLOOKUP($A147,'Species Library'!$A$6:$Z$150,COLUMN('Species Library'!U143),FALSE)), "",VLOOKUP($A147,'Species Library'!$A$6:$Z$150,COLUMN('Species Library'!U143),FALSE))</f>
        <v/>
      </c>
      <c r="Z147" s="30" t="str">
        <f>IF(ISNA(VLOOKUP($A147,'Species Library'!$A$6:$Z$150,COLUMN('Species Library'!V143),FALSE)), "",VLOOKUP($A147,'Species Library'!$A$6:$Z$150,COLUMN('Species Library'!V143),FALSE))</f>
        <v/>
      </c>
      <c r="AA147" s="30" t="str">
        <f>IF(ISNA(VLOOKUP($A147,'Species Library'!$A$6:$Z$150,COLUMN('Species Library'!W143),FALSE)), "",VLOOKUP($A147,'Species Library'!$A$6:$Z$150,COLUMN('Species Library'!W143),FALSE))</f>
        <v/>
      </c>
      <c r="AB147" s="30" t="str">
        <f>IF(ISNA(VLOOKUP($A147,'Species Library'!$A$6:$Z$150,COLUMN('Species Library'!X143),FALSE)), "",VLOOKUP($A147,'Species Library'!$A$6:$Z$150,COLUMN('Species Library'!X143),FALSE))</f>
        <v/>
      </c>
      <c r="AC147" s="30" t="str">
        <f>IF(ISNA(VLOOKUP($A147,'Species Library'!$A$6:$Z$150,COLUMN('Species Library'!Y143),FALSE)), "",VLOOKUP($A147,'Species Library'!$A$6:$Z$150,COLUMN('Species Library'!Y143),FALSE))</f>
        <v/>
      </c>
      <c r="AD147" s="30" t="str">
        <f>IF(ISNA(VLOOKUP($A147,'Species Library'!$A$6:$Z$150,COLUMN('Species Library'!Z143),FALSE)), "",VLOOKUP($A147,'Species Library'!$A$6:$Z$150,COLUMN('Species Library'!Z143),FALSE))</f>
        <v/>
      </c>
    </row>
    <row r="148" spans="2:30" x14ac:dyDescent="0.4">
      <c r="B148" s="30" t="str">
        <f>IF(ISNA(VLOOKUP($A148,'Species Library'!$A$6:$Z$150,COLUMN('Species Library'!B144),FALSE)), "",VLOOKUP($A148,'Species Library'!$A$6:$Z$150,COLUMN('Species Library'!B144),FALSE))</f>
        <v/>
      </c>
      <c r="C148" s="30" t="str">
        <f>IF(ISNA(VLOOKUP($A148,'Species Library'!$A$6:$Z$150,COLUMN('Species Library'!C144),FALSE)), "",VLOOKUP($A148,'Species Library'!$A$6:$Z$150,COLUMN('Species Library'!C144),FALSE))</f>
        <v/>
      </c>
      <c r="D148" s="30" t="str">
        <f>IF(ISNA(VLOOKUP($A148,'Species Library'!$A$6:$Z$150,COLUMN('Species Library'!D144),FALSE)), "",VLOOKUP($A148,'Species Library'!$A$6:$Z$150,COLUMN('Species Library'!D144),FALSE))</f>
        <v/>
      </c>
      <c r="E148" s="30" t="str">
        <f>IF(ISNA(VLOOKUP($A148,'Species Library'!$A$6:$Z$150,COLUMN('Species Library'!E144),FALSE)), "",VLOOKUP($A148,'Species Library'!$A$6:$Z$150,COLUMN('Species Library'!E144),FALSE))</f>
        <v/>
      </c>
      <c r="F148" s="30" t="str">
        <f>IF(ISNA(VLOOKUP($A148,'Species Library'!$A$6:$Z$150,COLUMN('Species Library'!F144),FALSE)), "",VLOOKUP($A148,'Species Library'!$A$6:$Z$150,COLUMN('Species Library'!F144),FALSE))</f>
        <v/>
      </c>
      <c r="G148" s="30" t="str">
        <f t="shared" si="8"/>
        <v/>
      </c>
      <c r="H148" s="30" t="str">
        <f>IF(ISNA(VLOOKUP($A148,'Species Library'!$A$6:$Z$150,COLUMN('Species Library'!G144),FALSE)), "",VLOOKUP($A148,'Species Library'!$A$6:$Z$150,COLUMN('Species Library'!G144),FALSE))</f>
        <v/>
      </c>
      <c r="I148" s="30" t="str">
        <f>IF(ISNA(VLOOKUP($A148,'Species Library'!$A$6:$Z$150,COLUMN('Species Library'!H144),FALSE)), "",VLOOKUP($A148,'Species Library'!$A$6:$Z$150,COLUMN('Species Library'!H144),FALSE))</f>
        <v/>
      </c>
      <c r="J148" s="30" t="str">
        <f>IF(ISNA(VLOOKUP($A148,'Species Library'!$A$6:$Z$150,COLUMN('Species Library'!I144),FALSE)), "",VLOOKUP($A148,'Species Library'!$A$6:$Z$150,COLUMN('Species Library'!I144),FALSE))</f>
        <v/>
      </c>
      <c r="K148" s="30" t="str">
        <f>IF(ISNA(VLOOKUP($A148,'Species Library'!$A$6:$Z$150,COLUMN('Species Library'!J144),FALSE)), "",VLOOKUP($A148,'Species Library'!$A$6:$Z$150,COLUMN('Species Library'!J144),FALSE))</f>
        <v/>
      </c>
      <c r="L148" s="30" t="str">
        <f>IF(ISNA(VLOOKUP($A148,'Species Library'!$A$6:$Z$150,COLUMN('Species Library'!K144),FALSE)), "",VLOOKUP($A148,'Species Library'!$A$6:$Z$150,COLUMN('Species Library'!K144),FALSE))</f>
        <v/>
      </c>
      <c r="M148" s="30" t="str">
        <f t="shared" si="9"/>
        <v/>
      </c>
      <c r="N148" s="30" t="str">
        <f>IF(ISNA(VLOOKUP($A148,'Species Library'!$A$6:$Z$150,COLUMN('Species Library'!L144),FALSE)), "",VLOOKUP($A148,'Species Library'!$A$6:$Z$150,COLUMN('Species Library'!L144),FALSE))</f>
        <v/>
      </c>
      <c r="O148" s="30" t="str">
        <f>IF(ISNA(VLOOKUP($A148,'Species Library'!$A$6:$Z$150,COLUMN('Species Library'!M144),FALSE)), "",VLOOKUP($A148,'Species Library'!$A$6:$Z$150,COLUMN('Species Library'!M144),FALSE))</f>
        <v/>
      </c>
      <c r="P148" s="30" t="str">
        <f>IF(ISNA(VLOOKUP($A148,'Species Library'!$A$6:$Z$150,COLUMN('Species Library'!N144),FALSE)), "",VLOOKUP($A148,'Species Library'!$A$6:$Z$150,COLUMN('Species Library'!N144),FALSE))</f>
        <v/>
      </c>
      <c r="Q148" s="30" t="str">
        <f t="shared" si="10"/>
        <v/>
      </c>
      <c r="R148" s="30" t="str">
        <f>IF(ISNA(VLOOKUP($A148,'Species Library'!$A$6:$Z$150,COLUMN('Species Library'!O144),FALSE)), "",VLOOKUP($A148,'Species Library'!$A$6:$Z$150,COLUMN('Species Library'!O144),FALSE))</f>
        <v/>
      </c>
      <c r="S148" s="30" t="str">
        <f>IF(ISNA(VLOOKUP($A148,'Species Library'!$A$6:$Z$150,COLUMN('Species Library'!P144),FALSE)), "",VLOOKUP($A148,'Species Library'!$A$6:$Z$150,COLUMN('Species Library'!P144),FALSE))</f>
        <v/>
      </c>
      <c r="T148" s="30" t="str">
        <f>IF(ISNA(VLOOKUP($A148,'Species Library'!$A$6:$Z$150,COLUMN('Species Library'!Q144),FALSE)), "",VLOOKUP($A148,'Species Library'!$A$6:$Z$150,COLUMN('Species Library'!Q144),FALSE))</f>
        <v/>
      </c>
      <c r="U148" s="30" t="str">
        <f>IF(ISNA(VLOOKUP($A148,'Species Library'!$A$6:$Z$150,COLUMN('Species Library'!R144),FALSE)), "",VLOOKUP($A148,'Species Library'!$A$6:$Z$150,COLUMN('Species Library'!R144),FALSE))</f>
        <v/>
      </c>
      <c r="V148" s="30" t="str">
        <f>IF(ISNA(VLOOKUP($A148,'Species Library'!$A$6:$Z$150,COLUMN('Species Library'!S144),FALSE)), "",VLOOKUP($A148,'Species Library'!$A$6:$Z$150,COLUMN('Species Library'!S144),FALSE))</f>
        <v/>
      </c>
      <c r="W148" s="30" t="str">
        <f>IF(ISNA(VLOOKUP($A148,'Species Library'!$A$6:$Z$150,COLUMN('Species Library'!T144),FALSE)), "",VLOOKUP($A148,'Species Library'!$A$6:$Z$150,COLUMN('Species Library'!T144),FALSE))</f>
        <v/>
      </c>
      <c r="X148" s="30" t="str">
        <f t="shared" si="11"/>
        <v/>
      </c>
      <c r="Y148" s="30" t="str">
        <f>IF(ISNA(VLOOKUP($A148,'Species Library'!$A$6:$Z$150,COLUMN('Species Library'!U144),FALSE)), "",VLOOKUP($A148,'Species Library'!$A$6:$Z$150,COLUMN('Species Library'!U144),FALSE))</f>
        <v/>
      </c>
      <c r="Z148" s="30" t="str">
        <f>IF(ISNA(VLOOKUP($A148,'Species Library'!$A$6:$Z$150,COLUMN('Species Library'!V144),FALSE)), "",VLOOKUP($A148,'Species Library'!$A$6:$Z$150,COLUMN('Species Library'!V144),FALSE))</f>
        <v/>
      </c>
      <c r="AA148" s="30" t="str">
        <f>IF(ISNA(VLOOKUP($A148,'Species Library'!$A$6:$Z$150,COLUMN('Species Library'!W144),FALSE)), "",VLOOKUP($A148,'Species Library'!$A$6:$Z$150,COLUMN('Species Library'!W144),FALSE))</f>
        <v/>
      </c>
      <c r="AB148" s="30" t="str">
        <f>IF(ISNA(VLOOKUP($A148,'Species Library'!$A$6:$Z$150,COLUMN('Species Library'!X144),FALSE)), "",VLOOKUP($A148,'Species Library'!$A$6:$Z$150,COLUMN('Species Library'!X144),FALSE))</f>
        <v/>
      </c>
      <c r="AC148" s="30" t="str">
        <f>IF(ISNA(VLOOKUP($A148,'Species Library'!$A$6:$Z$150,COLUMN('Species Library'!Y144),FALSE)), "",VLOOKUP($A148,'Species Library'!$A$6:$Z$150,COLUMN('Species Library'!Y144),FALSE))</f>
        <v/>
      </c>
      <c r="AD148" s="30" t="str">
        <f>IF(ISNA(VLOOKUP($A148,'Species Library'!$A$6:$Z$150,COLUMN('Species Library'!Z144),FALSE)), "",VLOOKUP($A148,'Species Library'!$A$6:$Z$150,COLUMN('Species Library'!Z144),FALSE))</f>
        <v/>
      </c>
    </row>
    <row r="149" spans="2:30" x14ac:dyDescent="0.4">
      <c r="B149" s="30" t="str">
        <f>IF(ISNA(VLOOKUP($A149,'Species Library'!$A$6:$Z$150,COLUMN('Species Library'!B145),FALSE)), "",VLOOKUP($A149,'Species Library'!$A$6:$Z$150,COLUMN('Species Library'!B145),FALSE))</f>
        <v/>
      </c>
      <c r="C149" s="30" t="str">
        <f>IF(ISNA(VLOOKUP($A149,'Species Library'!$A$6:$Z$150,COLUMN('Species Library'!C145),FALSE)), "",VLOOKUP($A149,'Species Library'!$A$6:$Z$150,COLUMN('Species Library'!C145),FALSE))</f>
        <v/>
      </c>
      <c r="D149" s="30" t="str">
        <f>IF(ISNA(VLOOKUP($A149,'Species Library'!$A$6:$Z$150,COLUMN('Species Library'!D145),FALSE)), "",VLOOKUP($A149,'Species Library'!$A$6:$Z$150,COLUMN('Species Library'!D145),FALSE))</f>
        <v/>
      </c>
      <c r="E149" s="30" t="str">
        <f>IF(ISNA(VLOOKUP($A149,'Species Library'!$A$6:$Z$150,COLUMN('Species Library'!E145),FALSE)), "",VLOOKUP($A149,'Species Library'!$A$6:$Z$150,COLUMN('Species Library'!E145),FALSE))</f>
        <v/>
      </c>
      <c r="F149" s="30" t="str">
        <f>IF(ISNA(VLOOKUP($A149,'Species Library'!$A$6:$Z$150,COLUMN('Species Library'!F145),FALSE)), "",VLOOKUP($A149,'Species Library'!$A$6:$Z$150,COLUMN('Species Library'!F145),FALSE))</f>
        <v/>
      </c>
      <c r="G149" s="30" t="str">
        <f t="shared" si="8"/>
        <v/>
      </c>
      <c r="H149" s="30" t="str">
        <f>IF(ISNA(VLOOKUP($A149,'Species Library'!$A$6:$Z$150,COLUMN('Species Library'!G145),FALSE)), "",VLOOKUP($A149,'Species Library'!$A$6:$Z$150,COLUMN('Species Library'!G145),FALSE))</f>
        <v/>
      </c>
      <c r="I149" s="30" t="str">
        <f>IF(ISNA(VLOOKUP($A149,'Species Library'!$A$6:$Z$150,COLUMN('Species Library'!H145),FALSE)), "",VLOOKUP($A149,'Species Library'!$A$6:$Z$150,COLUMN('Species Library'!H145),FALSE))</f>
        <v/>
      </c>
      <c r="J149" s="30" t="str">
        <f>IF(ISNA(VLOOKUP($A149,'Species Library'!$A$6:$Z$150,COLUMN('Species Library'!I145),FALSE)), "",VLOOKUP($A149,'Species Library'!$A$6:$Z$150,COLUMN('Species Library'!I145),FALSE))</f>
        <v/>
      </c>
      <c r="K149" s="30" t="str">
        <f>IF(ISNA(VLOOKUP($A149,'Species Library'!$A$6:$Z$150,COLUMN('Species Library'!J145),FALSE)), "",VLOOKUP($A149,'Species Library'!$A$6:$Z$150,COLUMN('Species Library'!J145),FALSE))</f>
        <v/>
      </c>
      <c r="L149" s="30" t="str">
        <f>IF(ISNA(VLOOKUP($A149,'Species Library'!$A$6:$Z$150,COLUMN('Species Library'!K145),FALSE)), "",VLOOKUP($A149,'Species Library'!$A$6:$Z$150,COLUMN('Species Library'!K145),FALSE))</f>
        <v/>
      </c>
      <c r="M149" s="30" t="str">
        <f t="shared" si="9"/>
        <v/>
      </c>
      <c r="N149" s="30" t="str">
        <f>IF(ISNA(VLOOKUP($A149,'Species Library'!$A$6:$Z$150,COLUMN('Species Library'!L145),FALSE)), "",VLOOKUP($A149,'Species Library'!$A$6:$Z$150,COLUMN('Species Library'!L145),FALSE))</f>
        <v/>
      </c>
      <c r="O149" s="30" t="str">
        <f>IF(ISNA(VLOOKUP($A149,'Species Library'!$A$6:$Z$150,COLUMN('Species Library'!M145),FALSE)), "",VLOOKUP($A149,'Species Library'!$A$6:$Z$150,COLUMN('Species Library'!M145),FALSE))</f>
        <v/>
      </c>
      <c r="P149" s="30" t="str">
        <f>IF(ISNA(VLOOKUP($A149,'Species Library'!$A$6:$Z$150,COLUMN('Species Library'!N145),FALSE)), "",VLOOKUP($A149,'Species Library'!$A$6:$Z$150,COLUMN('Species Library'!N145),FALSE))</f>
        <v/>
      </c>
      <c r="Q149" s="30" t="str">
        <f t="shared" si="10"/>
        <v/>
      </c>
      <c r="R149" s="30" t="str">
        <f>IF(ISNA(VLOOKUP($A149,'Species Library'!$A$6:$Z$150,COLUMN('Species Library'!O145),FALSE)), "",VLOOKUP($A149,'Species Library'!$A$6:$Z$150,COLUMN('Species Library'!O145),FALSE))</f>
        <v/>
      </c>
      <c r="S149" s="30" t="str">
        <f>IF(ISNA(VLOOKUP($A149,'Species Library'!$A$6:$Z$150,COLUMN('Species Library'!P145),FALSE)), "",VLOOKUP($A149,'Species Library'!$A$6:$Z$150,COLUMN('Species Library'!P145),FALSE))</f>
        <v/>
      </c>
      <c r="T149" s="30" t="str">
        <f>IF(ISNA(VLOOKUP($A149,'Species Library'!$A$6:$Z$150,COLUMN('Species Library'!Q145),FALSE)), "",VLOOKUP($A149,'Species Library'!$A$6:$Z$150,COLUMN('Species Library'!Q145),FALSE))</f>
        <v/>
      </c>
      <c r="U149" s="30" t="str">
        <f>IF(ISNA(VLOOKUP($A149,'Species Library'!$A$6:$Z$150,COLUMN('Species Library'!R145),FALSE)), "",VLOOKUP($A149,'Species Library'!$A$6:$Z$150,COLUMN('Species Library'!R145),FALSE))</f>
        <v/>
      </c>
      <c r="V149" s="30" t="str">
        <f>IF(ISNA(VLOOKUP($A149,'Species Library'!$A$6:$Z$150,COLUMN('Species Library'!S145),FALSE)), "",VLOOKUP($A149,'Species Library'!$A$6:$Z$150,COLUMN('Species Library'!S145),FALSE))</f>
        <v/>
      </c>
      <c r="W149" s="30" t="str">
        <f>IF(ISNA(VLOOKUP($A149,'Species Library'!$A$6:$Z$150,COLUMN('Species Library'!T145),FALSE)), "",VLOOKUP($A149,'Species Library'!$A$6:$Z$150,COLUMN('Species Library'!T145),FALSE))</f>
        <v/>
      </c>
      <c r="X149" s="30" t="str">
        <f t="shared" si="11"/>
        <v/>
      </c>
      <c r="Y149" s="30" t="str">
        <f>IF(ISNA(VLOOKUP($A149,'Species Library'!$A$6:$Z$150,COLUMN('Species Library'!U145),FALSE)), "",VLOOKUP($A149,'Species Library'!$A$6:$Z$150,COLUMN('Species Library'!U145),FALSE))</f>
        <v/>
      </c>
      <c r="Z149" s="30" t="str">
        <f>IF(ISNA(VLOOKUP($A149,'Species Library'!$A$6:$Z$150,COLUMN('Species Library'!V145),FALSE)), "",VLOOKUP($A149,'Species Library'!$A$6:$Z$150,COLUMN('Species Library'!V145),FALSE))</f>
        <v/>
      </c>
      <c r="AA149" s="30" t="str">
        <f>IF(ISNA(VLOOKUP($A149,'Species Library'!$A$6:$Z$150,COLUMN('Species Library'!W145),FALSE)), "",VLOOKUP($A149,'Species Library'!$A$6:$Z$150,COLUMN('Species Library'!W145),FALSE))</f>
        <v/>
      </c>
      <c r="AB149" s="30" t="str">
        <f>IF(ISNA(VLOOKUP($A149,'Species Library'!$A$6:$Z$150,COLUMN('Species Library'!X145),FALSE)), "",VLOOKUP($A149,'Species Library'!$A$6:$Z$150,COLUMN('Species Library'!X145),FALSE))</f>
        <v/>
      </c>
      <c r="AC149" s="30" t="str">
        <f>IF(ISNA(VLOOKUP($A149,'Species Library'!$A$6:$Z$150,COLUMN('Species Library'!Y145),FALSE)), "",VLOOKUP($A149,'Species Library'!$A$6:$Z$150,COLUMN('Species Library'!Y145),FALSE))</f>
        <v/>
      </c>
      <c r="AD149" s="30" t="str">
        <f>IF(ISNA(VLOOKUP($A149,'Species Library'!$A$6:$Z$150,COLUMN('Species Library'!Z145),FALSE)), "",VLOOKUP($A149,'Species Library'!$A$6:$Z$150,COLUMN('Species Library'!Z145),FALSE))</f>
        <v/>
      </c>
    </row>
    <row r="150" spans="2:30" x14ac:dyDescent="0.4">
      <c r="B150" s="30" t="str">
        <f>IF(ISNA(VLOOKUP($A150,'Species Library'!$A$6:$Z$150,COLUMN('Species Library'!B146),FALSE)), "",VLOOKUP($A150,'Species Library'!$A$6:$Z$150,COLUMN('Species Library'!B146),FALSE))</f>
        <v/>
      </c>
      <c r="C150" s="30" t="str">
        <f>IF(ISNA(VLOOKUP($A150,'Species Library'!$A$6:$Z$150,COLUMN('Species Library'!C146),FALSE)), "",VLOOKUP($A150,'Species Library'!$A$6:$Z$150,COLUMN('Species Library'!C146),FALSE))</f>
        <v/>
      </c>
      <c r="D150" s="30" t="str">
        <f>IF(ISNA(VLOOKUP($A150,'Species Library'!$A$6:$Z$150,COLUMN('Species Library'!D146),FALSE)), "",VLOOKUP($A150,'Species Library'!$A$6:$Z$150,COLUMN('Species Library'!D146),FALSE))</f>
        <v/>
      </c>
      <c r="E150" s="30" t="str">
        <f>IF(ISNA(VLOOKUP($A150,'Species Library'!$A$6:$Z$150,COLUMN('Species Library'!E146),FALSE)), "",VLOOKUP($A150,'Species Library'!$A$6:$Z$150,COLUMN('Species Library'!E146),FALSE))</f>
        <v/>
      </c>
      <c r="F150" s="30" t="str">
        <f>IF(ISNA(VLOOKUP($A150,'Species Library'!$A$6:$Z$150,COLUMN('Species Library'!F146),FALSE)), "",VLOOKUP($A150,'Species Library'!$A$6:$Z$150,COLUMN('Species Library'!F146),FALSE))</f>
        <v/>
      </c>
      <c r="G150" s="30" t="str">
        <f t="shared" si="8"/>
        <v/>
      </c>
      <c r="H150" s="30" t="str">
        <f>IF(ISNA(VLOOKUP($A150,'Species Library'!$A$6:$Z$150,COLUMN('Species Library'!G146),FALSE)), "",VLOOKUP($A150,'Species Library'!$A$6:$Z$150,COLUMN('Species Library'!G146),FALSE))</f>
        <v/>
      </c>
      <c r="I150" s="30" t="str">
        <f>IF(ISNA(VLOOKUP($A150,'Species Library'!$A$6:$Z$150,COLUMN('Species Library'!H146),FALSE)), "",VLOOKUP($A150,'Species Library'!$A$6:$Z$150,COLUMN('Species Library'!H146),FALSE))</f>
        <v/>
      </c>
      <c r="J150" s="30" t="str">
        <f>IF(ISNA(VLOOKUP($A150,'Species Library'!$A$6:$Z$150,COLUMN('Species Library'!I146),FALSE)), "",VLOOKUP($A150,'Species Library'!$A$6:$Z$150,COLUMN('Species Library'!I146),FALSE))</f>
        <v/>
      </c>
      <c r="K150" s="30" t="str">
        <f>IF(ISNA(VLOOKUP($A150,'Species Library'!$A$6:$Z$150,COLUMN('Species Library'!J146),FALSE)), "",VLOOKUP($A150,'Species Library'!$A$6:$Z$150,COLUMN('Species Library'!J146),FALSE))</f>
        <v/>
      </c>
      <c r="L150" s="30" t="str">
        <f>IF(ISNA(VLOOKUP($A150,'Species Library'!$A$6:$Z$150,COLUMN('Species Library'!K146),FALSE)), "",VLOOKUP($A150,'Species Library'!$A$6:$Z$150,COLUMN('Species Library'!K146),FALSE))</f>
        <v/>
      </c>
      <c r="M150" s="30" t="str">
        <f t="shared" si="9"/>
        <v/>
      </c>
      <c r="N150" s="30" t="str">
        <f>IF(ISNA(VLOOKUP($A150,'Species Library'!$A$6:$Z$150,COLUMN('Species Library'!L146),FALSE)), "",VLOOKUP($A150,'Species Library'!$A$6:$Z$150,COLUMN('Species Library'!L146),FALSE))</f>
        <v/>
      </c>
      <c r="O150" s="30" t="str">
        <f>IF(ISNA(VLOOKUP($A150,'Species Library'!$A$6:$Z$150,COLUMN('Species Library'!M146),FALSE)), "",VLOOKUP($A150,'Species Library'!$A$6:$Z$150,COLUMN('Species Library'!M146),FALSE))</f>
        <v/>
      </c>
      <c r="P150" s="30" t="str">
        <f>IF(ISNA(VLOOKUP($A150,'Species Library'!$A$6:$Z$150,COLUMN('Species Library'!N146),FALSE)), "",VLOOKUP($A150,'Species Library'!$A$6:$Z$150,COLUMN('Species Library'!N146),FALSE))</f>
        <v/>
      </c>
      <c r="Q150" s="30" t="str">
        <f t="shared" si="10"/>
        <v/>
      </c>
      <c r="R150" s="30" t="str">
        <f>IF(ISNA(VLOOKUP($A150,'Species Library'!$A$6:$Z$150,COLUMN('Species Library'!O146),FALSE)), "",VLOOKUP($A150,'Species Library'!$A$6:$Z$150,COLUMN('Species Library'!O146),FALSE))</f>
        <v/>
      </c>
      <c r="S150" s="30" t="str">
        <f>IF(ISNA(VLOOKUP($A150,'Species Library'!$A$6:$Z$150,COLUMN('Species Library'!P146),FALSE)), "",VLOOKUP($A150,'Species Library'!$A$6:$Z$150,COLUMN('Species Library'!P146),FALSE))</f>
        <v/>
      </c>
      <c r="T150" s="30" t="str">
        <f>IF(ISNA(VLOOKUP($A150,'Species Library'!$A$6:$Z$150,COLUMN('Species Library'!Q146),FALSE)), "",VLOOKUP($A150,'Species Library'!$A$6:$Z$150,COLUMN('Species Library'!Q146),FALSE))</f>
        <v/>
      </c>
      <c r="U150" s="30" t="str">
        <f>IF(ISNA(VLOOKUP($A150,'Species Library'!$A$6:$Z$150,COLUMN('Species Library'!R146),FALSE)), "",VLOOKUP($A150,'Species Library'!$A$6:$Z$150,COLUMN('Species Library'!R146),FALSE))</f>
        <v/>
      </c>
      <c r="V150" s="30" t="str">
        <f>IF(ISNA(VLOOKUP($A150,'Species Library'!$A$6:$Z$150,COLUMN('Species Library'!S146),FALSE)), "",VLOOKUP($A150,'Species Library'!$A$6:$Z$150,COLUMN('Species Library'!S146),FALSE))</f>
        <v/>
      </c>
      <c r="W150" s="30" t="str">
        <f>IF(ISNA(VLOOKUP($A150,'Species Library'!$A$6:$Z$150,COLUMN('Species Library'!T146),FALSE)), "",VLOOKUP($A150,'Species Library'!$A$6:$Z$150,COLUMN('Species Library'!T146),FALSE))</f>
        <v/>
      </c>
      <c r="X150" s="30" t="str">
        <f t="shared" si="11"/>
        <v/>
      </c>
      <c r="Y150" s="30" t="str">
        <f>IF(ISNA(VLOOKUP($A150,'Species Library'!$A$6:$Z$150,COLUMN('Species Library'!U146),FALSE)), "",VLOOKUP($A150,'Species Library'!$A$6:$Z$150,COLUMN('Species Library'!U146),FALSE))</f>
        <v/>
      </c>
      <c r="Z150" s="30" t="str">
        <f>IF(ISNA(VLOOKUP($A150,'Species Library'!$A$6:$Z$150,COLUMN('Species Library'!V146),FALSE)), "",VLOOKUP($A150,'Species Library'!$A$6:$Z$150,COLUMN('Species Library'!V146),FALSE))</f>
        <v/>
      </c>
      <c r="AA150" s="30" t="str">
        <f>IF(ISNA(VLOOKUP($A150,'Species Library'!$A$6:$Z$150,COLUMN('Species Library'!W146),FALSE)), "",VLOOKUP($A150,'Species Library'!$A$6:$Z$150,COLUMN('Species Library'!W146),FALSE))</f>
        <v/>
      </c>
      <c r="AB150" s="30" t="str">
        <f>IF(ISNA(VLOOKUP($A150,'Species Library'!$A$6:$Z$150,COLUMN('Species Library'!X146),FALSE)), "",VLOOKUP($A150,'Species Library'!$A$6:$Z$150,COLUMN('Species Library'!X146),FALSE))</f>
        <v/>
      </c>
      <c r="AC150" s="30" t="str">
        <f>IF(ISNA(VLOOKUP($A150,'Species Library'!$A$6:$Z$150,COLUMN('Species Library'!Y146),FALSE)), "",VLOOKUP($A150,'Species Library'!$A$6:$Z$150,COLUMN('Species Library'!Y146),FALSE))</f>
        <v/>
      </c>
      <c r="AD150" s="30" t="str">
        <f>IF(ISNA(VLOOKUP($A150,'Species Library'!$A$6:$Z$150,COLUMN('Species Library'!Z146),FALSE)), "",VLOOKUP($A150,'Species Library'!$A$6:$Z$150,COLUMN('Species Library'!Z146),FALSE))</f>
        <v/>
      </c>
    </row>
    <row r="151" spans="2:30" x14ac:dyDescent="0.4">
      <c r="B151" s="30" t="str">
        <f>IF(ISNA(VLOOKUP($A151,'Species Library'!$A$6:$Z$150,COLUMN('Species Library'!B147),FALSE)), "",VLOOKUP($A151,'Species Library'!$A$6:$Z$150,COLUMN('Species Library'!B147),FALSE))</f>
        <v/>
      </c>
      <c r="C151" s="30" t="str">
        <f>IF(ISNA(VLOOKUP($A151,'Species Library'!$A$6:$Z$150,COLUMN('Species Library'!C147),FALSE)), "",VLOOKUP($A151,'Species Library'!$A$6:$Z$150,COLUMN('Species Library'!C147),FALSE))</f>
        <v/>
      </c>
      <c r="D151" s="30" t="str">
        <f>IF(ISNA(VLOOKUP($A151,'Species Library'!$A$6:$Z$150,COLUMN('Species Library'!D147),FALSE)), "",VLOOKUP($A151,'Species Library'!$A$6:$Z$150,COLUMN('Species Library'!D147),FALSE))</f>
        <v/>
      </c>
      <c r="E151" s="30" t="str">
        <f>IF(ISNA(VLOOKUP($A151,'Species Library'!$A$6:$Z$150,COLUMN('Species Library'!E147),FALSE)), "",VLOOKUP($A151,'Species Library'!$A$6:$Z$150,COLUMN('Species Library'!E147),FALSE))</f>
        <v/>
      </c>
      <c r="F151" s="30" t="str">
        <f>IF(ISNA(VLOOKUP($A151,'Species Library'!$A$6:$Z$150,COLUMN('Species Library'!F147),FALSE)), "",VLOOKUP($A151,'Species Library'!$A$6:$Z$150,COLUMN('Species Library'!F147),FALSE))</f>
        <v/>
      </c>
      <c r="G151" s="30" t="str">
        <f t="shared" si="8"/>
        <v/>
      </c>
      <c r="H151" s="30" t="str">
        <f>IF(ISNA(VLOOKUP($A151,'Species Library'!$A$6:$Z$150,COLUMN('Species Library'!G147),FALSE)), "",VLOOKUP($A151,'Species Library'!$A$6:$Z$150,COLUMN('Species Library'!G147),FALSE))</f>
        <v/>
      </c>
      <c r="I151" s="30" t="str">
        <f>IF(ISNA(VLOOKUP($A151,'Species Library'!$A$6:$Z$150,COLUMN('Species Library'!H147),FALSE)), "",VLOOKUP($A151,'Species Library'!$A$6:$Z$150,COLUMN('Species Library'!H147),FALSE))</f>
        <v/>
      </c>
      <c r="J151" s="30" t="str">
        <f>IF(ISNA(VLOOKUP($A151,'Species Library'!$A$6:$Z$150,COLUMN('Species Library'!I147),FALSE)), "",VLOOKUP($A151,'Species Library'!$A$6:$Z$150,COLUMN('Species Library'!I147),FALSE))</f>
        <v/>
      </c>
      <c r="K151" s="30" t="str">
        <f>IF(ISNA(VLOOKUP($A151,'Species Library'!$A$6:$Z$150,COLUMN('Species Library'!J147),FALSE)), "",VLOOKUP($A151,'Species Library'!$A$6:$Z$150,COLUMN('Species Library'!J147),FALSE))</f>
        <v/>
      </c>
      <c r="L151" s="30" t="str">
        <f>IF(ISNA(VLOOKUP($A151,'Species Library'!$A$6:$Z$150,COLUMN('Species Library'!K147),FALSE)), "",VLOOKUP($A151,'Species Library'!$A$6:$Z$150,COLUMN('Species Library'!K147),FALSE))</f>
        <v/>
      </c>
      <c r="M151" s="30" t="str">
        <f t="shared" si="9"/>
        <v/>
      </c>
      <c r="N151" s="30" t="str">
        <f>IF(ISNA(VLOOKUP($A151,'Species Library'!$A$6:$Z$150,COLUMN('Species Library'!L147),FALSE)), "",VLOOKUP($A151,'Species Library'!$A$6:$Z$150,COLUMN('Species Library'!L147),FALSE))</f>
        <v/>
      </c>
      <c r="O151" s="30" t="str">
        <f>IF(ISNA(VLOOKUP($A151,'Species Library'!$A$6:$Z$150,COLUMN('Species Library'!M147),FALSE)), "",VLOOKUP($A151,'Species Library'!$A$6:$Z$150,COLUMN('Species Library'!M147),FALSE))</f>
        <v/>
      </c>
      <c r="P151" s="30" t="str">
        <f>IF(ISNA(VLOOKUP($A151,'Species Library'!$A$6:$Z$150,COLUMN('Species Library'!N147),FALSE)), "",VLOOKUP($A151,'Species Library'!$A$6:$Z$150,COLUMN('Species Library'!N147),FALSE))</f>
        <v/>
      </c>
      <c r="Q151" s="30" t="str">
        <f t="shared" si="10"/>
        <v/>
      </c>
      <c r="R151" s="30" t="str">
        <f>IF(ISNA(VLOOKUP($A151,'Species Library'!$A$6:$Z$150,COLUMN('Species Library'!O147),FALSE)), "",VLOOKUP($A151,'Species Library'!$A$6:$Z$150,COLUMN('Species Library'!O147),FALSE))</f>
        <v/>
      </c>
      <c r="S151" s="30" t="str">
        <f>IF(ISNA(VLOOKUP($A151,'Species Library'!$A$6:$Z$150,COLUMN('Species Library'!P147),FALSE)), "",VLOOKUP($A151,'Species Library'!$A$6:$Z$150,COLUMN('Species Library'!P147),FALSE))</f>
        <v/>
      </c>
      <c r="T151" s="30" t="str">
        <f>IF(ISNA(VLOOKUP($A151,'Species Library'!$A$6:$Z$150,COLUMN('Species Library'!Q147),FALSE)), "",VLOOKUP($A151,'Species Library'!$A$6:$Z$150,COLUMN('Species Library'!Q147),FALSE))</f>
        <v/>
      </c>
      <c r="U151" s="30" t="str">
        <f>IF(ISNA(VLOOKUP($A151,'Species Library'!$A$6:$Z$150,COLUMN('Species Library'!R147),FALSE)), "",VLOOKUP($A151,'Species Library'!$A$6:$Z$150,COLUMN('Species Library'!R147),FALSE))</f>
        <v/>
      </c>
      <c r="V151" s="30" t="str">
        <f>IF(ISNA(VLOOKUP($A151,'Species Library'!$A$6:$Z$150,COLUMN('Species Library'!S147),FALSE)), "",VLOOKUP($A151,'Species Library'!$A$6:$Z$150,COLUMN('Species Library'!S147),FALSE))</f>
        <v/>
      </c>
      <c r="W151" s="30" t="str">
        <f>IF(ISNA(VLOOKUP($A151,'Species Library'!$A$6:$Z$150,COLUMN('Species Library'!T147),FALSE)), "",VLOOKUP($A151,'Species Library'!$A$6:$Z$150,COLUMN('Species Library'!T147),FALSE))</f>
        <v/>
      </c>
      <c r="X151" s="30" t="str">
        <f t="shared" si="11"/>
        <v/>
      </c>
      <c r="Y151" s="30" t="str">
        <f>IF(ISNA(VLOOKUP($A151,'Species Library'!$A$6:$Z$150,COLUMN('Species Library'!U147),FALSE)), "",VLOOKUP($A151,'Species Library'!$A$6:$Z$150,COLUMN('Species Library'!U147),FALSE))</f>
        <v/>
      </c>
      <c r="Z151" s="30" t="str">
        <f>IF(ISNA(VLOOKUP($A151,'Species Library'!$A$6:$Z$150,COLUMN('Species Library'!V147),FALSE)), "",VLOOKUP($A151,'Species Library'!$A$6:$Z$150,COLUMN('Species Library'!V147),FALSE))</f>
        <v/>
      </c>
      <c r="AA151" s="30" t="str">
        <f>IF(ISNA(VLOOKUP($A151,'Species Library'!$A$6:$Z$150,COLUMN('Species Library'!W147),FALSE)), "",VLOOKUP($A151,'Species Library'!$A$6:$Z$150,COLUMN('Species Library'!W147),FALSE))</f>
        <v/>
      </c>
      <c r="AB151" s="30" t="str">
        <f>IF(ISNA(VLOOKUP($A151,'Species Library'!$A$6:$Z$150,COLUMN('Species Library'!X147),FALSE)), "",VLOOKUP($A151,'Species Library'!$A$6:$Z$150,COLUMN('Species Library'!X147),FALSE))</f>
        <v/>
      </c>
      <c r="AC151" s="30" t="str">
        <f>IF(ISNA(VLOOKUP($A151,'Species Library'!$A$6:$Z$150,COLUMN('Species Library'!Y147),FALSE)), "",VLOOKUP($A151,'Species Library'!$A$6:$Z$150,COLUMN('Species Library'!Y147),FALSE))</f>
        <v/>
      </c>
      <c r="AD151" s="30" t="str">
        <f>IF(ISNA(VLOOKUP($A151,'Species Library'!$A$6:$Z$150,COLUMN('Species Library'!Z147),FALSE)), "",VLOOKUP($A151,'Species Library'!$A$6:$Z$150,COLUMN('Species Library'!Z147),FALSE))</f>
        <v/>
      </c>
    </row>
    <row r="152" spans="2:30" x14ac:dyDescent="0.4">
      <c r="B152" s="30" t="str">
        <f>IF(ISNA(VLOOKUP($A152,'Species Library'!$A$6:$Z$150,COLUMN('Species Library'!B148),FALSE)), "",VLOOKUP($A152,'Species Library'!$A$6:$Z$150,COLUMN('Species Library'!B148),FALSE))</f>
        <v/>
      </c>
      <c r="C152" s="30" t="str">
        <f>IF(ISNA(VLOOKUP($A152,'Species Library'!$A$6:$Z$150,COLUMN('Species Library'!C148),FALSE)), "",VLOOKUP($A152,'Species Library'!$A$6:$Z$150,COLUMN('Species Library'!C148),FALSE))</f>
        <v/>
      </c>
      <c r="D152" s="30" t="str">
        <f>IF(ISNA(VLOOKUP($A152,'Species Library'!$A$6:$Z$150,COLUMN('Species Library'!D148),FALSE)), "",VLOOKUP($A152,'Species Library'!$A$6:$Z$150,COLUMN('Species Library'!D148),FALSE))</f>
        <v/>
      </c>
      <c r="E152" s="30" t="str">
        <f>IF(ISNA(VLOOKUP($A152,'Species Library'!$A$6:$Z$150,COLUMN('Species Library'!E148),FALSE)), "",VLOOKUP($A152,'Species Library'!$A$6:$Z$150,COLUMN('Species Library'!E148),FALSE))</f>
        <v/>
      </c>
      <c r="F152" s="30" t="str">
        <f>IF(ISNA(VLOOKUP($A152,'Species Library'!$A$6:$Z$150,COLUMN('Species Library'!F148),FALSE)), "",VLOOKUP($A152,'Species Library'!$A$6:$Z$150,COLUMN('Species Library'!F148),FALSE))</f>
        <v/>
      </c>
      <c r="G152" s="30" t="str">
        <f t="shared" si="8"/>
        <v/>
      </c>
      <c r="H152" s="30" t="str">
        <f>IF(ISNA(VLOOKUP($A152,'Species Library'!$A$6:$Z$150,COLUMN('Species Library'!G148),FALSE)), "",VLOOKUP($A152,'Species Library'!$A$6:$Z$150,COLUMN('Species Library'!G148),FALSE))</f>
        <v/>
      </c>
      <c r="I152" s="30" t="str">
        <f>IF(ISNA(VLOOKUP($A152,'Species Library'!$A$6:$Z$150,COLUMN('Species Library'!H148),FALSE)), "",VLOOKUP($A152,'Species Library'!$A$6:$Z$150,COLUMN('Species Library'!H148),FALSE))</f>
        <v/>
      </c>
      <c r="J152" s="30" t="str">
        <f>IF(ISNA(VLOOKUP($A152,'Species Library'!$A$6:$Z$150,COLUMN('Species Library'!I148),FALSE)), "",VLOOKUP($A152,'Species Library'!$A$6:$Z$150,COLUMN('Species Library'!I148),FALSE))</f>
        <v/>
      </c>
      <c r="K152" s="30" t="str">
        <f>IF(ISNA(VLOOKUP($A152,'Species Library'!$A$6:$Z$150,COLUMN('Species Library'!J148),FALSE)), "",VLOOKUP($A152,'Species Library'!$A$6:$Z$150,COLUMN('Species Library'!J148),FALSE))</f>
        <v/>
      </c>
      <c r="L152" s="30" t="str">
        <f>IF(ISNA(VLOOKUP($A152,'Species Library'!$A$6:$Z$150,COLUMN('Species Library'!K148),FALSE)), "",VLOOKUP($A152,'Species Library'!$A$6:$Z$150,COLUMN('Species Library'!K148),FALSE))</f>
        <v/>
      </c>
      <c r="M152" s="30" t="str">
        <f t="shared" si="9"/>
        <v/>
      </c>
      <c r="N152" s="30" t="str">
        <f>IF(ISNA(VLOOKUP($A152,'Species Library'!$A$6:$Z$150,COLUMN('Species Library'!L148),FALSE)), "",VLOOKUP($A152,'Species Library'!$A$6:$Z$150,COLUMN('Species Library'!L148),FALSE))</f>
        <v/>
      </c>
      <c r="O152" s="30" t="str">
        <f>IF(ISNA(VLOOKUP($A152,'Species Library'!$A$6:$Z$150,COLUMN('Species Library'!M148),FALSE)), "",VLOOKUP($A152,'Species Library'!$A$6:$Z$150,COLUMN('Species Library'!M148),FALSE))</f>
        <v/>
      </c>
      <c r="P152" s="30" t="str">
        <f>IF(ISNA(VLOOKUP($A152,'Species Library'!$A$6:$Z$150,COLUMN('Species Library'!N148),FALSE)), "",VLOOKUP($A152,'Species Library'!$A$6:$Z$150,COLUMN('Species Library'!N148),FALSE))</f>
        <v/>
      </c>
      <c r="Q152" s="30" t="str">
        <f t="shared" si="10"/>
        <v/>
      </c>
      <c r="R152" s="30" t="str">
        <f>IF(ISNA(VLOOKUP($A152,'Species Library'!$A$6:$Z$150,COLUMN('Species Library'!O148),FALSE)), "",VLOOKUP($A152,'Species Library'!$A$6:$Z$150,COLUMN('Species Library'!O148),FALSE))</f>
        <v/>
      </c>
      <c r="S152" s="30" t="str">
        <f>IF(ISNA(VLOOKUP($A152,'Species Library'!$A$6:$Z$150,COLUMN('Species Library'!P148),FALSE)), "",VLOOKUP($A152,'Species Library'!$A$6:$Z$150,COLUMN('Species Library'!P148),FALSE))</f>
        <v/>
      </c>
      <c r="T152" s="30" t="str">
        <f>IF(ISNA(VLOOKUP($A152,'Species Library'!$A$6:$Z$150,COLUMN('Species Library'!Q148),FALSE)), "",VLOOKUP($A152,'Species Library'!$A$6:$Z$150,COLUMN('Species Library'!Q148),FALSE))</f>
        <v/>
      </c>
      <c r="U152" s="30" t="str">
        <f>IF(ISNA(VLOOKUP($A152,'Species Library'!$A$6:$Z$150,COLUMN('Species Library'!R148),FALSE)), "",VLOOKUP($A152,'Species Library'!$A$6:$Z$150,COLUMN('Species Library'!R148),FALSE))</f>
        <v/>
      </c>
      <c r="V152" s="30" t="str">
        <f>IF(ISNA(VLOOKUP($A152,'Species Library'!$A$6:$Z$150,COLUMN('Species Library'!S148),FALSE)), "",VLOOKUP($A152,'Species Library'!$A$6:$Z$150,COLUMN('Species Library'!S148),FALSE))</f>
        <v/>
      </c>
      <c r="W152" s="30" t="str">
        <f>IF(ISNA(VLOOKUP($A152,'Species Library'!$A$6:$Z$150,COLUMN('Species Library'!T148),FALSE)), "",VLOOKUP($A152,'Species Library'!$A$6:$Z$150,COLUMN('Species Library'!T148),FALSE))</f>
        <v/>
      </c>
      <c r="X152" s="30" t="str">
        <f t="shared" si="11"/>
        <v/>
      </c>
      <c r="Y152" s="30" t="str">
        <f>IF(ISNA(VLOOKUP($A152,'Species Library'!$A$6:$Z$150,COLUMN('Species Library'!U148),FALSE)), "",VLOOKUP($A152,'Species Library'!$A$6:$Z$150,COLUMN('Species Library'!U148),FALSE))</f>
        <v/>
      </c>
      <c r="Z152" s="30" t="str">
        <f>IF(ISNA(VLOOKUP($A152,'Species Library'!$A$6:$Z$150,COLUMN('Species Library'!V148),FALSE)), "",VLOOKUP($A152,'Species Library'!$A$6:$Z$150,COLUMN('Species Library'!V148),FALSE))</f>
        <v/>
      </c>
      <c r="AA152" s="30" t="str">
        <f>IF(ISNA(VLOOKUP($A152,'Species Library'!$A$6:$Z$150,COLUMN('Species Library'!W148),FALSE)), "",VLOOKUP($A152,'Species Library'!$A$6:$Z$150,COLUMN('Species Library'!W148),FALSE))</f>
        <v/>
      </c>
      <c r="AB152" s="30" t="str">
        <f>IF(ISNA(VLOOKUP($A152,'Species Library'!$A$6:$Z$150,COLUMN('Species Library'!X148),FALSE)), "",VLOOKUP($A152,'Species Library'!$A$6:$Z$150,COLUMN('Species Library'!X148),FALSE))</f>
        <v/>
      </c>
      <c r="AC152" s="30" t="str">
        <f>IF(ISNA(VLOOKUP($A152,'Species Library'!$A$6:$Z$150,COLUMN('Species Library'!Y148),FALSE)), "",VLOOKUP($A152,'Species Library'!$A$6:$Z$150,COLUMN('Species Library'!Y148),FALSE))</f>
        <v/>
      </c>
      <c r="AD152" s="30" t="str">
        <f>IF(ISNA(VLOOKUP($A152,'Species Library'!$A$6:$Z$150,COLUMN('Species Library'!Z148),FALSE)), "",VLOOKUP($A152,'Species Library'!$A$6:$Z$150,COLUMN('Species Library'!Z148),FALSE))</f>
        <v/>
      </c>
    </row>
    <row r="153" spans="2:30" x14ac:dyDescent="0.4">
      <c r="B153" s="30" t="str">
        <f>IF(ISNA(VLOOKUP($A153,'Species Library'!$A$6:$Z$150,COLUMN('Species Library'!B149),FALSE)), "",VLOOKUP($A153,'Species Library'!$A$6:$Z$150,COLUMN('Species Library'!B149),FALSE))</f>
        <v/>
      </c>
      <c r="C153" s="30" t="str">
        <f>IF(ISNA(VLOOKUP($A153,'Species Library'!$A$6:$Z$150,COLUMN('Species Library'!C149),FALSE)), "",VLOOKUP($A153,'Species Library'!$A$6:$Z$150,COLUMN('Species Library'!C149),FALSE))</f>
        <v/>
      </c>
      <c r="D153" s="30" t="str">
        <f>IF(ISNA(VLOOKUP($A153,'Species Library'!$A$6:$Z$150,COLUMN('Species Library'!D149),FALSE)), "",VLOOKUP($A153,'Species Library'!$A$6:$Z$150,COLUMN('Species Library'!D149),FALSE))</f>
        <v/>
      </c>
      <c r="E153" s="30" t="str">
        <f>IF(ISNA(VLOOKUP($A153,'Species Library'!$A$6:$Z$150,COLUMN('Species Library'!E149),FALSE)), "",VLOOKUP($A153,'Species Library'!$A$6:$Z$150,COLUMN('Species Library'!E149),FALSE))</f>
        <v/>
      </c>
      <c r="F153" s="30" t="str">
        <f>IF(ISNA(VLOOKUP($A153,'Species Library'!$A$6:$Z$150,COLUMN('Species Library'!F149),FALSE)), "",VLOOKUP($A153,'Species Library'!$A$6:$Z$150,COLUMN('Species Library'!F149),FALSE))</f>
        <v/>
      </c>
      <c r="G153" s="30" t="str">
        <f t="shared" si="8"/>
        <v/>
      </c>
      <c r="H153" s="30" t="str">
        <f>IF(ISNA(VLOOKUP($A153,'Species Library'!$A$6:$Z$150,COLUMN('Species Library'!G149),FALSE)), "",VLOOKUP($A153,'Species Library'!$A$6:$Z$150,COLUMN('Species Library'!G149),FALSE))</f>
        <v/>
      </c>
      <c r="I153" s="30" t="str">
        <f>IF(ISNA(VLOOKUP($A153,'Species Library'!$A$6:$Z$150,COLUMN('Species Library'!H149),FALSE)), "",VLOOKUP($A153,'Species Library'!$A$6:$Z$150,COLUMN('Species Library'!H149),FALSE))</f>
        <v/>
      </c>
      <c r="J153" s="30" t="str">
        <f>IF(ISNA(VLOOKUP($A153,'Species Library'!$A$6:$Z$150,COLUMN('Species Library'!I149),FALSE)), "",VLOOKUP($A153,'Species Library'!$A$6:$Z$150,COLUMN('Species Library'!I149),FALSE))</f>
        <v/>
      </c>
      <c r="K153" s="30" t="str">
        <f>IF(ISNA(VLOOKUP($A153,'Species Library'!$A$6:$Z$150,COLUMN('Species Library'!J149),FALSE)), "",VLOOKUP($A153,'Species Library'!$A$6:$Z$150,COLUMN('Species Library'!J149),FALSE))</f>
        <v/>
      </c>
      <c r="L153" s="30" t="str">
        <f>IF(ISNA(VLOOKUP($A153,'Species Library'!$A$6:$Z$150,COLUMN('Species Library'!K149),FALSE)), "",VLOOKUP($A153,'Species Library'!$A$6:$Z$150,COLUMN('Species Library'!K149),FALSE))</f>
        <v/>
      </c>
      <c r="M153" s="30" t="str">
        <f t="shared" si="9"/>
        <v/>
      </c>
      <c r="N153" s="30" t="str">
        <f>IF(ISNA(VLOOKUP($A153,'Species Library'!$A$6:$Z$150,COLUMN('Species Library'!L149),FALSE)), "",VLOOKUP($A153,'Species Library'!$A$6:$Z$150,COLUMN('Species Library'!L149),FALSE))</f>
        <v/>
      </c>
      <c r="O153" s="30" t="str">
        <f>IF(ISNA(VLOOKUP($A153,'Species Library'!$A$6:$Z$150,COLUMN('Species Library'!M149),FALSE)), "",VLOOKUP($A153,'Species Library'!$A$6:$Z$150,COLUMN('Species Library'!M149),FALSE))</f>
        <v/>
      </c>
      <c r="P153" s="30" t="str">
        <f>IF(ISNA(VLOOKUP($A153,'Species Library'!$A$6:$Z$150,COLUMN('Species Library'!N149),FALSE)), "",VLOOKUP($A153,'Species Library'!$A$6:$Z$150,COLUMN('Species Library'!N149),FALSE))</f>
        <v/>
      </c>
      <c r="Q153" s="30" t="str">
        <f t="shared" si="10"/>
        <v/>
      </c>
      <c r="R153" s="30" t="str">
        <f>IF(ISNA(VLOOKUP($A153,'Species Library'!$A$6:$Z$150,COLUMN('Species Library'!O149),FALSE)), "",VLOOKUP($A153,'Species Library'!$A$6:$Z$150,COLUMN('Species Library'!O149),FALSE))</f>
        <v/>
      </c>
      <c r="S153" s="30" t="str">
        <f>IF(ISNA(VLOOKUP($A153,'Species Library'!$A$6:$Z$150,COLUMN('Species Library'!P149),FALSE)), "",VLOOKUP($A153,'Species Library'!$A$6:$Z$150,COLUMN('Species Library'!P149),FALSE))</f>
        <v/>
      </c>
      <c r="T153" s="30" t="str">
        <f>IF(ISNA(VLOOKUP($A153,'Species Library'!$A$6:$Z$150,COLUMN('Species Library'!Q149),FALSE)), "",VLOOKUP($A153,'Species Library'!$A$6:$Z$150,COLUMN('Species Library'!Q149),FALSE))</f>
        <v/>
      </c>
      <c r="U153" s="30" t="str">
        <f>IF(ISNA(VLOOKUP($A153,'Species Library'!$A$6:$Z$150,COLUMN('Species Library'!R149),FALSE)), "",VLOOKUP($A153,'Species Library'!$A$6:$Z$150,COLUMN('Species Library'!R149),FALSE))</f>
        <v/>
      </c>
      <c r="V153" s="30" t="str">
        <f>IF(ISNA(VLOOKUP($A153,'Species Library'!$A$6:$Z$150,COLUMN('Species Library'!S149),FALSE)), "",VLOOKUP($A153,'Species Library'!$A$6:$Z$150,COLUMN('Species Library'!S149),FALSE))</f>
        <v/>
      </c>
      <c r="W153" s="30" t="str">
        <f>IF(ISNA(VLOOKUP($A153,'Species Library'!$A$6:$Z$150,COLUMN('Species Library'!T149),FALSE)), "",VLOOKUP($A153,'Species Library'!$A$6:$Z$150,COLUMN('Species Library'!T149),FALSE))</f>
        <v/>
      </c>
      <c r="X153" s="30" t="str">
        <f t="shared" si="11"/>
        <v/>
      </c>
      <c r="Y153" s="30" t="str">
        <f>IF(ISNA(VLOOKUP($A153,'Species Library'!$A$6:$Z$150,COLUMN('Species Library'!U149),FALSE)), "",VLOOKUP($A153,'Species Library'!$A$6:$Z$150,COLUMN('Species Library'!U149),FALSE))</f>
        <v/>
      </c>
      <c r="Z153" s="30" t="str">
        <f>IF(ISNA(VLOOKUP($A153,'Species Library'!$A$6:$Z$150,COLUMN('Species Library'!V149),FALSE)), "",VLOOKUP($A153,'Species Library'!$A$6:$Z$150,COLUMN('Species Library'!V149),FALSE))</f>
        <v/>
      </c>
      <c r="AA153" s="30" t="str">
        <f>IF(ISNA(VLOOKUP($A153,'Species Library'!$A$6:$Z$150,COLUMN('Species Library'!W149),FALSE)), "",VLOOKUP($A153,'Species Library'!$A$6:$Z$150,COLUMN('Species Library'!W149),FALSE))</f>
        <v/>
      </c>
      <c r="AB153" s="30" t="str">
        <f>IF(ISNA(VLOOKUP($A153,'Species Library'!$A$6:$Z$150,COLUMN('Species Library'!X149),FALSE)), "",VLOOKUP($A153,'Species Library'!$A$6:$Z$150,COLUMN('Species Library'!X149),FALSE))</f>
        <v/>
      </c>
      <c r="AC153" s="30" t="str">
        <f>IF(ISNA(VLOOKUP($A153,'Species Library'!$A$6:$Z$150,COLUMN('Species Library'!Y149),FALSE)), "",VLOOKUP($A153,'Species Library'!$A$6:$Z$150,COLUMN('Species Library'!Y149),FALSE))</f>
        <v/>
      </c>
      <c r="AD153" s="30" t="str">
        <f>IF(ISNA(VLOOKUP($A153,'Species Library'!$A$6:$Z$150,COLUMN('Species Library'!Z149),FALSE)), "",VLOOKUP($A153,'Species Library'!$A$6:$Z$150,COLUMN('Species Library'!Z149),FALSE))</f>
        <v/>
      </c>
    </row>
    <row r="154" spans="2:30" x14ac:dyDescent="0.4">
      <c r="B154" s="30" t="str">
        <f>IF(ISNA(VLOOKUP($A154,'Species Library'!$A$6:$Z$150,COLUMN('Species Library'!B150),FALSE)), "",VLOOKUP($A154,'Species Library'!$A$6:$Z$150,COLUMN('Species Library'!B150),FALSE))</f>
        <v/>
      </c>
      <c r="C154" s="30" t="str">
        <f>IF(ISNA(VLOOKUP($A154,'Species Library'!$A$6:$Z$150,COLUMN('Species Library'!C150),FALSE)), "",VLOOKUP($A154,'Species Library'!$A$6:$Z$150,COLUMN('Species Library'!C150),FALSE))</f>
        <v/>
      </c>
      <c r="D154" s="30" t="str">
        <f>IF(ISNA(VLOOKUP($A154,'Species Library'!$A$6:$Z$150,COLUMN('Species Library'!D150),FALSE)), "",VLOOKUP($A154,'Species Library'!$A$6:$Z$150,COLUMN('Species Library'!D150),FALSE))</f>
        <v/>
      </c>
      <c r="E154" s="30" t="str">
        <f>IF(ISNA(VLOOKUP($A154,'Species Library'!$A$6:$Z$150,COLUMN('Species Library'!E150),FALSE)), "",VLOOKUP($A154,'Species Library'!$A$6:$Z$150,COLUMN('Species Library'!E150),FALSE))</f>
        <v/>
      </c>
      <c r="F154" s="30" t="str">
        <f>IF(ISNA(VLOOKUP($A154,'Species Library'!$A$6:$Z$150,COLUMN('Species Library'!F150),FALSE)), "",VLOOKUP($A154,'Species Library'!$A$6:$Z$150,COLUMN('Species Library'!F150),FALSE))</f>
        <v/>
      </c>
      <c r="G154" s="30" t="str">
        <f t="shared" si="8"/>
        <v/>
      </c>
      <c r="H154" s="30" t="str">
        <f>IF(ISNA(VLOOKUP($A154,'Species Library'!$A$6:$Z$150,COLUMN('Species Library'!G150),FALSE)), "",VLOOKUP($A154,'Species Library'!$A$6:$Z$150,COLUMN('Species Library'!G150),FALSE))</f>
        <v/>
      </c>
      <c r="I154" s="30" t="str">
        <f>IF(ISNA(VLOOKUP($A154,'Species Library'!$A$6:$Z$150,COLUMN('Species Library'!H150),FALSE)), "",VLOOKUP($A154,'Species Library'!$A$6:$Z$150,COLUMN('Species Library'!H150),FALSE))</f>
        <v/>
      </c>
      <c r="J154" s="30" t="str">
        <f>IF(ISNA(VLOOKUP($A154,'Species Library'!$A$6:$Z$150,COLUMN('Species Library'!I150),FALSE)), "",VLOOKUP($A154,'Species Library'!$A$6:$Z$150,COLUMN('Species Library'!I150),FALSE))</f>
        <v/>
      </c>
      <c r="K154" s="30" t="str">
        <f>IF(ISNA(VLOOKUP($A154,'Species Library'!$A$6:$Z$150,COLUMN('Species Library'!J150),FALSE)), "",VLOOKUP($A154,'Species Library'!$A$6:$Z$150,COLUMN('Species Library'!J150),FALSE))</f>
        <v/>
      </c>
      <c r="L154" s="30" t="str">
        <f>IF(ISNA(VLOOKUP($A154,'Species Library'!$A$6:$Z$150,COLUMN('Species Library'!K150),FALSE)), "",VLOOKUP($A154,'Species Library'!$A$6:$Z$150,COLUMN('Species Library'!K150),FALSE))</f>
        <v/>
      </c>
      <c r="M154" s="30" t="str">
        <f t="shared" si="9"/>
        <v/>
      </c>
      <c r="N154" s="30" t="str">
        <f>IF(ISNA(VLOOKUP($A154,'Species Library'!$A$6:$Z$150,COLUMN('Species Library'!L150),FALSE)), "",VLOOKUP($A154,'Species Library'!$A$6:$Z$150,COLUMN('Species Library'!L150),FALSE))</f>
        <v/>
      </c>
      <c r="O154" s="30" t="str">
        <f>IF(ISNA(VLOOKUP($A154,'Species Library'!$A$6:$Z$150,COLUMN('Species Library'!M150),FALSE)), "",VLOOKUP($A154,'Species Library'!$A$6:$Z$150,COLUMN('Species Library'!M150),FALSE))</f>
        <v/>
      </c>
      <c r="P154" s="30" t="str">
        <f>IF(ISNA(VLOOKUP($A154,'Species Library'!$A$6:$Z$150,COLUMN('Species Library'!N150),FALSE)), "",VLOOKUP($A154,'Species Library'!$A$6:$Z$150,COLUMN('Species Library'!N150),FALSE))</f>
        <v/>
      </c>
      <c r="Q154" s="30" t="str">
        <f t="shared" si="10"/>
        <v/>
      </c>
      <c r="R154" s="30" t="str">
        <f>IF(ISNA(VLOOKUP($A154,'Species Library'!$A$6:$Z$150,COLUMN('Species Library'!O150),FALSE)), "",VLOOKUP($A154,'Species Library'!$A$6:$Z$150,COLUMN('Species Library'!O150),FALSE))</f>
        <v/>
      </c>
      <c r="S154" s="30" t="str">
        <f>IF(ISNA(VLOOKUP($A154,'Species Library'!$A$6:$Z$150,COLUMN('Species Library'!P150),FALSE)), "",VLOOKUP($A154,'Species Library'!$A$6:$Z$150,COLUMN('Species Library'!P150),FALSE))</f>
        <v/>
      </c>
      <c r="T154" s="30" t="str">
        <f>IF(ISNA(VLOOKUP($A154,'Species Library'!$A$6:$Z$150,COLUMN('Species Library'!Q150),FALSE)), "",VLOOKUP($A154,'Species Library'!$A$6:$Z$150,COLUMN('Species Library'!Q150),FALSE))</f>
        <v/>
      </c>
      <c r="U154" s="30" t="str">
        <f>IF(ISNA(VLOOKUP($A154,'Species Library'!$A$6:$Z$150,COLUMN('Species Library'!R150),FALSE)), "",VLOOKUP($A154,'Species Library'!$A$6:$Z$150,COLUMN('Species Library'!R150),FALSE))</f>
        <v/>
      </c>
      <c r="V154" s="30" t="str">
        <f>IF(ISNA(VLOOKUP($A154,'Species Library'!$A$6:$Z$150,COLUMN('Species Library'!S150),FALSE)), "",VLOOKUP($A154,'Species Library'!$A$6:$Z$150,COLUMN('Species Library'!S150),FALSE))</f>
        <v/>
      </c>
      <c r="W154" s="30" t="str">
        <f>IF(ISNA(VLOOKUP($A154,'Species Library'!$A$6:$Z$150,COLUMN('Species Library'!T150),FALSE)), "",VLOOKUP($A154,'Species Library'!$A$6:$Z$150,COLUMN('Species Library'!T150),FALSE))</f>
        <v/>
      </c>
      <c r="X154" s="30" t="str">
        <f t="shared" si="11"/>
        <v/>
      </c>
      <c r="Y154" s="30" t="str">
        <f>IF(ISNA(VLOOKUP($A154,'Species Library'!$A$6:$Z$150,COLUMN('Species Library'!U150),FALSE)), "",VLOOKUP($A154,'Species Library'!$A$6:$Z$150,COLUMN('Species Library'!U150),FALSE))</f>
        <v/>
      </c>
      <c r="Z154" s="30" t="str">
        <f>IF(ISNA(VLOOKUP($A154,'Species Library'!$A$6:$Z$150,COLUMN('Species Library'!V150),FALSE)), "",VLOOKUP($A154,'Species Library'!$A$6:$Z$150,COLUMN('Species Library'!V150),FALSE))</f>
        <v/>
      </c>
      <c r="AA154" s="30" t="str">
        <f>IF(ISNA(VLOOKUP($A154,'Species Library'!$A$6:$Z$150,COLUMN('Species Library'!W150),FALSE)), "",VLOOKUP($A154,'Species Library'!$A$6:$Z$150,COLUMN('Species Library'!W150),FALSE))</f>
        <v/>
      </c>
      <c r="AB154" s="30" t="str">
        <f>IF(ISNA(VLOOKUP($A154,'Species Library'!$A$6:$Z$150,COLUMN('Species Library'!X150),FALSE)), "",VLOOKUP($A154,'Species Library'!$A$6:$Z$150,COLUMN('Species Library'!X150),FALSE))</f>
        <v/>
      </c>
      <c r="AC154" s="30" t="str">
        <f>IF(ISNA(VLOOKUP($A154,'Species Library'!$A$6:$Z$150,COLUMN('Species Library'!Y150),FALSE)), "",VLOOKUP($A154,'Species Library'!$A$6:$Z$150,COLUMN('Species Library'!Y150),FALSE))</f>
        <v/>
      </c>
      <c r="AD154" s="30" t="str">
        <f>IF(ISNA(VLOOKUP($A154,'Species Library'!$A$6:$Z$150,COLUMN('Species Library'!Z150),FALSE)), "",VLOOKUP($A154,'Species Library'!$A$6:$Z$150,COLUMN('Species Library'!Z150),FALSE))</f>
        <v/>
      </c>
    </row>
    <row r="155" spans="2:30" x14ac:dyDescent="0.4">
      <c r="B155" s="30" t="str">
        <f>IF(ISNA(VLOOKUP($A155,'Species Library'!$A$6:$Z$150,COLUMN('Species Library'!B151),FALSE)), "",VLOOKUP($A155,'Species Library'!$A$6:$Z$150,COLUMN('Species Library'!B151),FALSE))</f>
        <v/>
      </c>
      <c r="C155" s="30" t="str">
        <f>IF(ISNA(VLOOKUP($A155,'Species Library'!$A$6:$Z$150,COLUMN('Species Library'!C151),FALSE)), "",VLOOKUP($A155,'Species Library'!$A$6:$Z$150,COLUMN('Species Library'!C151),FALSE))</f>
        <v/>
      </c>
      <c r="D155" s="30" t="str">
        <f>IF(ISNA(VLOOKUP($A155,'Species Library'!$A$6:$Z$150,COLUMN('Species Library'!D151),FALSE)), "",VLOOKUP($A155,'Species Library'!$A$6:$Z$150,COLUMN('Species Library'!D151),FALSE))</f>
        <v/>
      </c>
      <c r="E155" s="30" t="str">
        <f>IF(ISNA(VLOOKUP($A155,'Species Library'!$A$6:$Z$150,COLUMN('Species Library'!E151),FALSE)), "",VLOOKUP($A155,'Species Library'!$A$6:$Z$150,COLUMN('Species Library'!E151),FALSE))</f>
        <v/>
      </c>
      <c r="F155" s="30" t="str">
        <f>IF(ISNA(VLOOKUP($A155,'Species Library'!$A$6:$Z$150,COLUMN('Species Library'!F151),FALSE)), "",VLOOKUP($A155,'Species Library'!$A$6:$Z$150,COLUMN('Species Library'!F151),FALSE))</f>
        <v/>
      </c>
      <c r="G155" s="30" t="str">
        <f t="shared" si="8"/>
        <v/>
      </c>
      <c r="H155" s="30" t="str">
        <f>IF(ISNA(VLOOKUP($A155,'Species Library'!$A$6:$Z$150,COLUMN('Species Library'!G151),FALSE)), "",VLOOKUP($A155,'Species Library'!$A$6:$Z$150,COLUMN('Species Library'!G151),FALSE))</f>
        <v/>
      </c>
      <c r="I155" s="30" t="str">
        <f>IF(ISNA(VLOOKUP($A155,'Species Library'!$A$6:$Z$150,COLUMN('Species Library'!H151),FALSE)), "",VLOOKUP($A155,'Species Library'!$A$6:$Z$150,COLUMN('Species Library'!H151),FALSE))</f>
        <v/>
      </c>
      <c r="J155" s="30" t="str">
        <f>IF(ISNA(VLOOKUP($A155,'Species Library'!$A$6:$Z$150,COLUMN('Species Library'!I151),FALSE)), "",VLOOKUP($A155,'Species Library'!$A$6:$Z$150,COLUMN('Species Library'!I151),FALSE))</f>
        <v/>
      </c>
      <c r="K155" s="30" t="str">
        <f>IF(ISNA(VLOOKUP($A155,'Species Library'!$A$6:$Z$150,COLUMN('Species Library'!J151),FALSE)), "",VLOOKUP($A155,'Species Library'!$A$6:$Z$150,COLUMN('Species Library'!J151),FALSE))</f>
        <v/>
      </c>
      <c r="L155" s="30" t="str">
        <f>IF(ISNA(VLOOKUP($A155,'Species Library'!$A$6:$Z$150,COLUMN('Species Library'!K151),FALSE)), "",VLOOKUP($A155,'Species Library'!$A$6:$Z$150,COLUMN('Species Library'!K151),FALSE))</f>
        <v/>
      </c>
      <c r="M155" s="30" t="str">
        <f t="shared" si="9"/>
        <v/>
      </c>
      <c r="N155" s="30" t="str">
        <f>IF(ISNA(VLOOKUP($A155,'Species Library'!$A$6:$Z$150,COLUMN('Species Library'!L151),FALSE)), "",VLOOKUP($A155,'Species Library'!$A$6:$Z$150,COLUMN('Species Library'!L151),FALSE))</f>
        <v/>
      </c>
      <c r="O155" s="30" t="str">
        <f>IF(ISNA(VLOOKUP($A155,'Species Library'!$A$6:$Z$150,COLUMN('Species Library'!M151),FALSE)), "",VLOOKUP($A155,'Species Library'!$A$6:$Z$150,COLUMN('Species Library'!M151),FALSE))</f>
        <v/>
      </c>
      <c r="P155" s="30" t="str">
        <f>IF(ISNA(VLOOKUP($A155,'Species Library'!$A$6:$Z$150,COLUMN('Species Library'!N151),FALSE)), "",VLOOKUP($A155,'Species Library'!$A$6:$Z$150,COLUMN('Species Library'!N151),FALSE))</f>
        <v/>
      </c>
      <c r="Q155" s="30" t="str">
        <f t="shared" si="10"/>
        <v/>
      </c>
      <c r="R155" s="30" t="str">
        <f>IF(ISNA(VLOOKUP($A155,'Species Library'!$A$6:$Z$150,COLUMN('Species Library'!O151),FALSE)), "",VLOOKUP($A155,'Species Library'!$A$6:$Z$150,COLUMN('Species Library'!O151),FALSE))</f>
        <v/>
      </c>
      <c r="S155" s="30" t="str">
        <f>IF(ISNA(VLOOKUP($A155,'Species Library'!$A$6:$Z$150,COLUMN('Species Library'!P151),FALSE)), "",VLOOKUP($A155,'Species Library'!$A$6:$Z$150,COLUMN('Species Library'!P151),FALSE))</f>
        <v/>
      </c>
      <c r="T155" s="30" t="str">
        <f>IF(ISNA(VLOOKUP($A155,'Species Library'!$A$6:$Z$150,COLUMN('Species Library'!Q151),FALSE)), "",VLOOKUP($A155,'Species Library'!$A$6:$Z$150,COLUMN('Species Library'!Q151),FALSE))</f>
        <v/>
      </c>
      <c r="U155" s="30" t="str">
        <f>IF(ISNA(VLOOKUP($A155,'Species Library'!$A$6:$Z$150,COLUMN('Species Library'!R151),FALSE)), "",VLOOKUP($A155,'Species Library'!$A$6:$Z$150,COLUMN('Species Library'!R151),FALSE))</f>
        <v/>
      </c>
      <c r="V155" s="30" t="str">
        <f>IF(ISNA(VLOOKUP($A155,'Species Library'!$A$6:$Z$150,COLUMN('Species Library'!S151),FALSE)), "",VLOOKUP($A155,'Species Library'!$A$6:$Z$150,COLUMN('Species Library'!S151),FALSE))</f>
        <v/>
      </c>
      <c r="W155" s="30" t="str">
        <f>IF(ISNA(VLOOKUP($A155,'Species Library'!$A$6:$Z$150,COLUMN('Species Library'!T151),FALSE)), "",VLOOKUP($A155,'Species Library'!$A$6:$Z$150,COLUMN('Species Library'!T151),FALSE))</f>
        <v/>
      </c>
      <c r="X155" s="30" t="str">
        <f t="shared" si="11"/>
        <v/>
      </c>
      <c r="Y155" s="30" t="str">
        <f>IF(ISNA(VLOOKUP($A155,'Species Library'!$A$6:$Z$150,COLUMN('Species Library'!U151),FALSE)), "",VLOOKUP($A155,'Species Library'!$A$6:$Z$150,COLUMN('Species Library'!U151),FALSE))</f>
        <v/>
      </c>
      <c r="Z155" s="30" t="str">
        <f>IF(ISNA(VLOOKUP($A155,'Species Library'!$A$6:$Z$150,COLUMN('Species Library'!V151),FALSE)), "",VLOOKUP($A155,'Species Library'!$A$6:$Z$150,COLUMN('Species Library'!V151),FALSE))</f>
        <v/>
      </c>
      <c r="AA155" s="30" t="str">
        <f>IF(ISNA(VLOOKUP($A155,'Species Library'!$A$6:$Z$150,COLUMN('Species Library'!W151),FALSE)), "",VLOOKUP($A155,'Species Library'!$A$6:$Z$150,COLUMN('Species Library'!W151),FALSE))</f>
        <v/>
      </c>
      <c r="AB155" s="30" t="str">
        <f>IF(ISNA(VLOOKUP($A155,'Species Library'!$A$6:$Z$150,COLUMN('Species Library'!X151),FALSE)), "",VLOOKUP($A155,'Species Library'!$A$6:$Z$150,COLUMN('Species Library'!X151),FALSE))</f>
        <v/>
      </c>
      <c r="AC155" s="30" t="str">
        <f>IF(ISNA(VLOOKUP($A155,'Species Library'!$A$6:$Z$150,COLUMN('Species Library'!Y151),FALSE)), "",VLOOKUP($A155,'Species Library'!$A$6:$Z$150,COLUMN('Species Library'!Y151),FALSE))</f>
        <v/>
      </c>
      <c r="AD155" s="30" t="str">
        <f>IF(ISNA(VLOOKUP($A155,'Species Library'!$A$6:$Z$150,COLUMN('Species Library'!Z151),FALSE)), "",VLOOKUP($A155,'Species Library'!$A$6:$Z$150,COLUMN('Species Library'!Z151),FALSE))</f>
        <v/>
      </c>
    </row>
    <row r="156" spans="2:30" x14ac:dyDescent="0.4">
      <c r="B156" s="30" t="str">
        <f>IF(ISNA(VLOOKUP($A156,'Species Library'!$A$6:$Z$150,COLUMN('Species Library'!B152),FALSE)), "",VLOOKUP($A156,'Species Library'!$A$6:$Z$150,COLUMN('Species Library'!B152),FALSE))</f>
        <v/>
      </c>
      <c r="C156" s="30" t="str">
        <f>IF(ISNA(VLOOKUP($A156,'Species Library'!$A$6:$Z$150,COLUMN('Species Library'!C152),FALSE)), "",VLOOKUP($A156,'Species Library'!$A$6:$Z$150,COLUMN('Species Library'!C152),FALSE))</f>
        <v/>
      </c>
      <c r="D156" s="30" t="str">
        <f>IF(ISNA(VLOOKUP($A156,'Species Library'!$A$6:$Z$150,COLUMN('Species Library'!D152),FALSE)), "",VLOOKUP($A156,'Species Library'!$A$6:$Z$150,COLUMN('Species Library'!D152),FALSE))</f>
        <v/>
      </c>
      <c r="E156" s="30" t="str">
        <f>IF(ISNA(VLOOKUP($A156,'Species Library'!$A$6:$Z$150,COLUMN('Species Library'!E152),FALSE)), "",VLOOKUP($A156,'Species Library'!$A$6:$Z$150,COLUMN('Species Library'!E152),FALSE))</f>
        <v/>
      </c>
      <c r="F156" s="30" t="str">
        <f>IF(ISNA(VLOOKUP($A156,'Species Library'!$A$6:$Z$150,COLUMN('Species Library'!F152),FALSE)), "",VLOOKUP($A156,'Species Library'!$A$6:$Z$150,COLUMN('Species Library'!F152),FALSE))</f>
        <v/>
      </c>
      <c r="G156" s="30" t="str">
        <f t="shared" si="8"/>
        <v/>
      </c>
      <c r="H156" s="30" t="str">
        <f>IF(ISNA(VLOOKUP($A156,'Species Library'!$A$6:$Z$150,COLUMN('Species Library'!G152),FALSE)), "",VLOOKUP($A156,'Species Library'!$A$6:$Z$150,COLUMN('Species Library'!G152),FALSE))</f>
        <v/>
      </c>
      <c r="I156" s="30" t="str">
        <f>IF(ISNA(VLOOKUP($A156,'Species Library'!$A$6:$Z$150,COLUMN('Species Library'!H152),FALSE)), "",VLOOKUP($A156,'Species Library'!$A$6:$Z$150,COLUMN('Species Library'!H152),FALSE))</f>
        <v/>
      </c>
      <c r="J156" s="30" t="str">
        <f>IF(ISNA(VLOOKUP($A156,'Species Library'!$A$6:$Z$150,COLUMN('Species Library'!I152),FALSE)), "",VLOOKUP($A156,'Species Library'!$A$6:$Z$150,COLUMN('Species Library'!I152),FALSE))</f>
        <v/>
      </c>
      <c r="K156" s="30" t="str">
        <f>IF(ISNA(VLOOKUP($A156,'Species Library'!$A$6:$Z$150,COLUMN('Species Library'!J152),FALSE)), "",VLOOKUP($A156,'Species Library'!$A$6:$Z$150,COLUMN('Species Library'!J152),FALSE))</f>
        <v/>
      </c>
      <c r="L156" s="30" t="str">
        <f>IF(ISNA(VLOOKUP($A156,'Species Library'!$A$6:$Z$150,COLUMN('Species Library'!K152),FALSE)), "",VLOOKUP($A156,'Species Library'!$A$6:$Z$150,COLUMN('Species Library'!K152),FALSE))</f>
        <v/>
      </c>
      <c r="M156" s="30" t="str">
        <f t="shared" si="9"/>
        <v/>
      </c>
      <c r="N156" s="30" t="str">
        <f>IF(ISNA(VLOOKUP($A156,'Species Library'!$A$6:$Z$150,COLUMN('Species Library'!L152),FALSE)), "",VLOOKUP($A156,'Species Library'!$A$6:$Z$150,COLUMN('Species Library'!L152),FALSE))</f>
        <v/>
      </c>
      <c r="O156" s="30" t="str">
        <f>IF(ISNA(VLOOKUP($A156,'Species Library'!$A$6:$Z$150,COLUMN('Species Library'!M152),FALSE)), "",VLOOKUP($A156,'Species Library'!$A$6:$Z$150,COLUMN('Species Library'!M152),FALSE))</f>
        <v/>
      </c>
      <c r="P156" s="30" t="str">
        <f>IF(ISNA(VLOOKUP($A156,'Species Library'!$A$6:$Z$150,COLUMN('Species Library'!N152),FALSE)), "",VLOOKUP($A156,'Species Library'!$A$6:$Z$150,COLUMN('Species Library'!N152),FALSE))</f>
        <v/>
      </c>
      <c r="Q156" s="30" t="str">
        <f t="shared" si="10"/>
        <v/>
      </c>
      <c r="R156" s="30" t="str">
        <f>IF(ISNA(VLOOKUP($A156,'Species Library'!$A$6:$Z$150,COLUMN('Species Library'!O152),FALSE)), "",VLOOKUP($A156,'Species Library'!$A$6:$Z$150,COLUMN('Species Library'!O152),FALSE))</f>
        <v/>
      </c>
      <c r="S156" s="30" t="str">
        <f>IF(ISNA(VLOOKUP($A156,'Species Library'!$A$6:$Z$150,COLUMN('Species Library'!P152),FALSE)), "",VLOOKUP($A156,'Species Library'!$A$6:$Z$150,COLUMN('Species Library'!P152),FALSE))</f>
        <v/>
      </c>
      <c r="T156" s="30" t="str">
        <f>IF(ISNA(VLOOKUP($A156,'Species Library'!$A$6:$Z$150,COLUMN('Species Library'!Q152),FALSE)), "",VLOOKUP($A156,'Species Library'!$A$6:$Z$150,COLUMN('Species Library'!Q152),FALSE))</f>
        <v/>
      </c>
      <c r="U156" s="30" t="str">
        <f>IF(ISNA(VLOOKUP($A156,'Species Library'!$A$6:$Z$150,COLUMN('Species Library'!R152),FALSE)), "",VLOOKUP($A156,'Species Library'!$A$6:$Z$150,COLUMN('Species Library'!R152),FALSE))</f>
        <v/>
      </c>
      <c r="V156" s="30" t="str">
        <f>IF(ISNA(VLOOKUP($A156,'Species Library'!$A$6:$Z$150,COLUMN('Species Library'!S152),FALSE)), "",VLOOKUP($A156,'Species Library'!$A$6:$Z$150,COLUMN('Species Library'!S152),FALSE))</f>
        <v/>
      </c>
      <c r="W156" s="30" t="str">
        <f>IF(ISNA(VLOOKUP($A156,'Species Library'!$A$6:$Z$150,COLUMN('Species Library'!T152),FALSE)), "",VLOOKUP($A156,'Species Library'!$A$6:$Z$150,COLUMN('Species Library'!T152),FALSE))</f>
        <v/>
      </c>
      <c r="X156" s="30" t="str">
        <f t="shared" si="11"/>
        <v/>
      </c>
      <c r="Y156" s="30" t="str">
        <f>IF(ISNA(VLOOKUP($A156,'Species Library'!$A$6:$Z$150,COLUMN('Species Library'!U152),FALSE)), "",VLOOKUP($A156,'Species Library'!$A$6:$Z$150,COLUMN('Species Library'!U152),FALSE))</f>
        <v/>
      </c>
      <c r="Z156" s="30" t="str">
        <f>IF(ISNA(VLOOKUP($A156,'Species Library'!$A$6:$Z$150,COLUMN('Species Library'!V152),FALSE)), "",VLOOKUP($A156,'Species Library'!$A$6:$Z$150,COLUMN('Species Library'!V152),FALSE))</f>
        <v/>
      </c>
      <c r="AA156" s="30" t="str">
        <f>IF(ISNA(VLOOKUP($A156,'Species Library'!$A$6:$Z$150,COLUMN('Species Library'!W152),FALSE)), "",VLOOKUP($A156,'Species Library'!$A$6:$Z$150,COLUMN('Species Library'!W152),FALSE))</f>
        <v/>
      </c>
      <c r="AB156" s="30" t="str">
        <f>IF(ISNA(VLOOKUP($A156,'Species Library'!$A$6:$Z$150,COLUMN('Species Library'!X152),FALSE)), "",VLOOKUP($A156,'Species Library'!$A$6:$Z$150,COLUMN('Species Library'!X152),FALSE))</f>
        <v/>
      </c>
      <c r="AC156" s="30" t="str">
        <f>IF(ISNA(VLOOKUP($A156,'Species Library'!$A$6:$Z$150,COLUMN('Species Library'!Y152),FALSE)), "",VLOOKUP($A156,'Species Library'!$A$6:$Z$150,COLUMN('Species Library'!Y152),FALSE))</f>
        <v/>
      </c>
      <c r="AD156" s="30" t="str">
        <f>IF(ISNA(VLOOKUP($A156,'Species Library'!$A$6:$Z$150,COLUMN('Species Library'!Z152),FALSE)), "",VLOOKUP($A156,'Species Library'!$A$6:$Z$150,COLUMN('Species Library'!Z152),FALSE))</f>
        <v/>
      </c>
    </row>
    <row r="157" spans="2:30" x14ac:dyDescent="0.4">
      <c r="B157" s="30" t="str">
        <f>IF(ISNA(VLOOKUP($A157,'Species Library'!$A$6:$Z$150,COLUMN('Species Library'!B153),FALSE)), "",VLOOKUP($A157,'Species Library'!$A$6:$Z$150,COLUMN('Species Library'!B153),FALSE))</f>
        <v/>
      </c>
      <c r="C157" s="30" t="str">
        <f>IF(ISNA(VLOOKUP($A157,'Species Library'!$A$6:$Z$150,COLUMN('Species Library'!C153),FALSE)), "",VLOOKUP($A157,'Species Library'!$A$6:$Z$150,COLUMN('Species Library'!C153),FALSE))</f>
        <v/>
      </c>
      <c r="D157" s="30" t="str">
        <f>IF(ISNA(VLOOKUP($A157,'Species Library'!$A$6:$Z$150,COLUMN('Species Library'!D153),FALSE)), "",VLOOKUP($A157,'Species Library'!$A$6:$Z$150,COLUMN('Species Library'!D153),FALSE))</f>
        <v/>
      </c>
      <c r="E157" s="30" t="str">
        <f>IF(ISNA(VLOOKUP($A157,'Species Library'!$A$6:$Z$150,COLUMN('Species Library'!E153),FALSE)), "",VLOOKUP($A157,'Species Library'!$A$6:$Z$150,COLUMN('Species Library'!E153),FALSE))</f>
        <v/>
      </c>
      <c r="F157" s="30" t="str">
        <f>IF(ISNA(VLOOKUP($A157,'Species Library'!$A$6:$Z$150,COLUMN('Species Library'!F153),FALSE)), "",VLOOKUP($A157,'Species Library'!$A$6:$Z$150,COLUMN('Species Library'!F153),FALSE))</f>
        <v/>
      </c>
      <c r="G157" s="30" t="str">
        <f t="shared" si="8"/>
        <v/>
      </c>
      <c r="H157" s="30" t="str">
        <f>IF(ISNA(VLOOKUP($A157,'Species Library'!$A$6:$Z$150,COLUMN('Species Library'!G153),FALSE)), "",VLOOKUP($A157,'Species Library'!$A$6:$Z$150,COLUMN('Species Library'!G153),FALSE))</f>
        <v/>
      </c>
      <c r="I157" s="30" t="str">
        <f>IF(ISNA(VLOOKUP($A157,'Species Library'!$A$6:$Z$150,COLUMN('Species Library'!H153),FALSE)), "",VLOOKUP($A157,'Species Library'!$A$6:$Z$150,COLUMN('Species Library'!H153),FALSE))</f>
        <v/>
      </c>
      <c r="J157" s="30" t="str">
        <f>IF(ISNA(VLOOKUP($A157,'Species Library'!$A$6:$Z$150,COLUMN('Species Library'!I153),FALSE)), "",VLOOKUP($A157,'Species Library'!$A$6:$Z$150,COLUMN('Species Library'!I153),FALSE))</f>
        <v/>
      </c>
      <c r="K157" s="30" t="str">
        <f>IF(ISNA(VLOOKUP($A157,'Species Library'!$A$6:$Z$150,COLUMN('Species Library'!J153),FALSE)), "",VLOOKUP($A157,'Species Library'!$A$6:$Z$150,COLUMN('Species Library'!J153),FALSE))</f>
        <v/>
      </c>
      <c r="L157" s="30" t="str">
        <f>IF(ISNA(VLOOKUP($A157,'Species Library'!$A$6:$Z$150,COLUMN('Species Library'!K153),FALSE)), "",VLOOKUP($A157,'Species Library'!$A$6:$Z$150,COLUMN('Species Library'!K153),FALSE))</f>
        <v/>
      </c>
      <c r="M157" s="30" t="str">
        <f t="shared" si="9"/>
        <v/>
      </c>
      <c r="N157" s="30" t="str">
        <f>IF(ISNA(VLOOKUP($A157,'Species Library'!$A$6:$Z$150,COLUMN('Species Library'!L153),FALSE)), "",VLOOKUP($A157,'Species Library'!$A$6:$Z$150,COLUMN('Species Library'!L153),FALSE))</f>
        <v/>
      </c>
      <c r="O157" s="30" t="str">
        <f>IF(ISNA(VLOOKUP($A157,'Species Library'!$A$6:$Z$150,COLUMN('Species Library'!M153),FALSE)), "",VLOOKUP($A157,'Species Library'!$A$6:$Z$150,COLUMN('Species Library'!M153),FALSE))</f>
        <v/>
      </c>
      <c r="P157" s="30" t="str">
        <f>IF(ISNA(VLOOKUP($A157,'Species Library'!$A$6:$Z$150,COLUMN('Species Library'!N153),FALSE)), "",VLOOKUP($A157,'Species Library'!$A$6:$Z$150,COLUMN('Species Library'!N153),FALSE))</f>
        <v/>
      </c>
      <c r="Q157" s="30" t="str">
        <f t="shared" si="10"/>
        <v/>
      </c>
      <c r="R157" s="30" t="str">
        <f>IF(ISNA(VLOOKUP($A157,'Species Library'!$A$6:$Z$150,COLUMN('Species Library'!O153),FALSE)), "",VLOOKUP($A157,'Species Library'!$A$6:$Z$150,COLUMN('Species Library'!O153),FALSE))</f>
        <v/>
      </c>
      <c r="S157" s="30" t="str">
        <f>IF(ISNA(VLOOKUP($A157,'Species Library'!$A$6:$Z$150,COLUMN('Species Library'!P153),FALSE)), "",VLOOKUP($A157,'Species Library'!$A$6:$Z$150,COLUMN('Species Library'!P153),FALSE))</f>
        <v/>
      </c>
      <c r="T157" s="30" t="str">
        <f>IF(ISNA(VLOOKUP($A157,'Species Library'!$A$6:$Z$150,COLUMN('Species Library'!Q153),FALSE)), "",VLOOKUP($A157,'Species Library'!$A$6:$Z$150,COLUMN('Species Library'!Q153),FALSE))</f>
        <v/>
      </c>
      <c r="U157" s="30" t="str">
        <f>IF(ISNA(VLOOKUP($A157,'Species Library'!$A$6:$Z$150,COLUMN('Species Library'!R153),FALSE)), "",VLOOKUP($A157,'Species Library'!$A$6:$Z$150,COLUMN('Species Library'!R153),FALSE))</f>
        <v/>
      </c>
      <c r="V157" s="30" t="str">
        <f>IF(ISNA(VLOOKUP($A157,'Species Library'!$A$6:$Z$150,COLUMN('Species Library'!S153),FALSE)), "",VLOOKUP($A157,'Species Library'!$A$6:$Z$150,COLUMN('Species Library'!S153),FALSE))</f>
        <v/>
      </c>
      <c r="W157" s="30" t="str">
        <f>IF(ISNA(VLOOKUP($A157,'Species Library'!$A$6:$Z$150,COLUMN('Species Library'!T153),FALSE)), "",VLOOKUP($A157,'Species Library'!$A$6:$Z$150,COLUMN('Species Library'!T153),FALSE))</f>
        <v/>
      </c>
      <c r="X157" s="30" t="str">
        <f t="shared" si="11"/>
        <v/>
      </c>
      <c r="Y157" s="30" t="str">
        <f>IF(ISNA(VLOOKUP($A157,'Species Library'!$A$6:$Z$150,COLUMN('Species Library'!U153),FALSE)), "",VLOOKUP($A157,'Species Library'!$A$6:$Z$150,COLUMN('Species Library'!U153),FALSE))</f>
        <v/>
      </c>
      <c r="Z157" s="30" t="str">
        <f>IF(ISNA(VLOOKUP($A157,'Species Library'!$A$6:$Z$150,COLUMN('Species Library'!V153),FALSE)), "",VLOOKUP($A157,'Species Library'!$A$6:$Z$150,COLUMN('Species Library'!V153),FALSE))</f>
        <v/>
      </c>
      <c r="AA157" s="30" t="str">
        <f>IF(ISNA(VLOOKUP($A157,'Species Library'!$A$6:$Z$150,COLUMN('Species Library'!W153),FALSE)), "",VLOOKUP($A157,'Species Library'!$A$6:$Z$150,COLUMN('Species Library'!W153),FALSE))</f>
        <v/>
      </c>
      <c r="AB157" s="30" t="str">
        <f>IF(ISNA(VLOOKUP($A157,'Species Library'!$A$6:$Z$150,COLUMN('Species Library'!X153),FALSE)), "",VLOOKUP($A157,'Species Library'!$A$6:$Z$150,COLUMN('Species Library'!X153),FALSE))</f>
        <v/>
      </c>
      <c r="AC157" s="30" t="str">
        <f>IF(ISNA(VLOOKUP($A157,'Species Library'!$A$6:$Z$150,COLUMN('Species Library'!Y153),FALSE)), "",VLOOKUP($A157,'Species Library'!$A$6:$Z$150,COLUMN('Species Library'!Y153),FALSE))</f>
        <v/>
      </c>
      <c r="AD157" s="30" t="str">
        <f>IF(ISNA(VLOOKUP($A157,'Species Library'!$A$6:$Z$150,COLUMN('Species Library'!Z153),FALSE)), "",VLOOKUP($A157,'Species Library'!$A$6:$Z$150,COLUMN('Species Library'!Z153),FALSE))</f>
        <v/>
      </c>
    </row>
    <row r="158" spans="2:30" x14ac:dyDescent="0.4">
      <c r="B158" s="30" t="str">
        <f>IF(ISNA(VLOOKUP($A158,'Species Library'!$A$6:$Z$150,COLUMN('Species Library'!B154),FALSE)), "",VLOOKUP($A158,'Species Library'!$A$6:$Z$150,COLUMN('Species Library'!B154),FALSE))</f>
        <v/>
      </c>
      <c r="C158" s="30" t="str">
        <f>IF(ISNA(VLOOKUP($A158,'Species Library'!$A$6:$Z$150,COLUMN('Species Library'!C154),FALSE)), "",VLOOKUP($A158,'Species Library'!$A$6:$Z$150,COLUMN('Species Library'!C154),FALSE))</f>
        <v/>
      </c>
      <c r="D158" s="30" t="str">
        <f>IF(ISNA(VLOOKUP($A158,'Species Library'!$A$6:$Z$150,COLUMN('Species Library'!D154),FALSE)), "",VLOOKUP($A158,'Species Library'!$A$6:$Z$150,COLUMN('Species Library'!D154),FALSE))</f>
        <v/>
      </c>
      <c r="E158" s="30" t="str">
        <f>IF(ISNA(VLOOKUP($A158,'Species Library'!$A$6:$Z$150,COLUMN('Species Library'!E154),FALSE)), "",VLOOKUP($A158,'Species Library'!$A$6:$Z$150,COLUMN('Species Library'!E154),FALSE))</f>
        <v/>
      </c>
      <c r="F158" s="30" t="str">
        <f>IF(ISNA(VLOOKUP($A158,'Species Library'!$A$6:$Z$150,COLUMN('Species Library'!F154),FALSE)), "",VLOOKUP($A158,'Species Library'!$A$6:$Z$150,COLUMN('Species Library'!F154),FALSE))</f>
        <v/>
      </c>
      <c r="G158" s="30" t="str">
        <f t="shared" si="8"/>
        <v/>
      </c>
      <c r="H158" s="30" t="str">
        <f>IF(ISNA(VLOOKUP($A158,'Species Library'!$A$6:$Z$150,COLUMN('Species Library'!G154),FALSE)), "",VLOOKUP($A158,'Species Library'!$A$6:$Z$150,COLUMN('Species Library'!G154),FALSE))</f>
        <v/>
      </c>
      <c r="I158" s="30" t="str">
        <f>IF(ISNA(VLOOKUP($A158,'Species Library'!$A$6:$Z$150,COLUMN('Species Library'!H154),FALSE)), "",VLOOKUP($A158,'Species Library'!$A$6:$Z$150,COLUMN('Species Library'!H154),FALSE))</f>
        <v/>
      </c>
      <c r="J158" s="30" t="str">
        <f>IF(ISNA(VLOOKUP($A158,'Species Library'!$A$6:$Z$150,COLUMN('Species Library'!I154),FALSE)), "",VLOOKUP($A158,'Species Library'!$A$6:$Z$150,COLUMN('Species Library'!I154),FALSE))</f>
        <v/>
      </c>
      <c r="K158" s="30" t="str">
        <f>IF(ISNA(VLOOKUP($A158,'Species Library'!$A$6:$Z$150,COLUMN('Species Library'!J154),FALSE)), "",VLOOKUP($A158,'Species Library'!$A$6:$Z$150,COLUMN('Species Library'!J154),FALSE))</f>
        <v/>
      </c>
      <c r="L158" s="30" t="str">
        <f>IF(ISNA(VLOOKUP($A158,'Species Library'!$A$6:$Z$150,COLUMN('Species Library'!K154),FALSE)), "",VLOOKUP($A158,'Species Library'!$A$6:$Z$150,COLUMN('Species Library'!K154),FALSE))</f>
        <v/>
      </c>
      <c r="M158" s="30" t="str">
        <f t="shared" si="9"/>
        <v/>
      </c>
      <c r="N158" s="30" t="str">
        <f>IF(ISNA(VLOOKUP($A158,'Species Library'!$A$6:$Z$150,COLUMN('Species Library'!L154),FALSE)), "",VLOOKUP($A158,'Species Library'!$A$6:$Z$150,COLUMN('Species Library'!L154),FALSE))</f>
        <v/>
      </c>
      <c r="O158" s="30" t="str">
        <f>IF(ISNA(VLOOKUP($A158,'Species Library'!$A$6:$Z$150,COLUMN('Species Library'!M154),FALSE)), "",VLOOKUP($A158,'Species Library'!$A$6:$Z$150,COLUMN('Species Library'!M154),FALSE))</f>
        <v/>
      </c>
      <c r="P158" s="30" t="str">
        <f>IF(ISNA(VLOOKUP($A158,'Species Library'!$A$6:$Z$150,COLUMN('Species Library'!N154),FALSE)), "",VLOOKUP($A158,'Species Library'!$A$6:$Z$150,COLUMN('Species Library'!N154),FALSE))</f>
        <v/>
      </c>
      <c r="Q158" s="30" t="str">
        <f t="shared" si="10"/>
        <v/>
      </c>
      <c r="R158" s="30" t="str">
        <f>IF(ISNA(VLOOKUP($A158,'Species Library'!$A$6:$Z$150,COLUMN('Species Library'!O154),FALSE)), "",VLOOKUP($A158,'Species Library'!$A$6:$Z$150,COLUMN('Species Library'!O154),FALSE))</f>
        <v/>
      </c>
      <c r="S158" s="30" t="str">
        <f>IF(ISNA(VLOOKUP($A158,'Species Library'!$A$6:$Z$150,COLUMN('Species Library'!P154),FALSE)), "",VLOOKUP($A158,'Species Library'!$A$6:$Z$150,COLUMN('Species Library'!P154),FALSE))</f>
        <v/>
      </c>
      <c r="T158" s="30" t="str">
        <f>IF(ISNA(VLOOKUP($A158,'Species Library'!$A$6:$Z$150,COLUMN('Species Library'!Q154),FALSE)), "",VLOOKUP($A158,'Species Library'!$A$6:$Z$150,COLUMN('Species Library'!Q154),FALSE))</f>
        <v/>
      </c>
      <c r="U158" s="30" t="str">
        <f>IF(ISNA(VLOOKUP($A158,'Species Library'!$A$6:$Z$150,COLUMN('Species Library'!R154),FALSE)), "",VLOOKUP($A158,'Species Library'!$A$6:$Z$150,COLUMN('Species Library'!R154),FALSE))</f>
        <v/>
      </c>
      <c r="V158" s="30" t="str">
        <f>IF(ISNA(VLOOKUP($A158,'Species Library'!$A$6:$Z$150,COLUMN('Species Library'!S154),FALSE)), "",VLOOKUP($A158,'Species Library'!$A$6:$Z$150,COLUMN('Species Library'!S154),FALSE))</f>
        <v/>
      </c>
      <c r="W158" s="30" t="str">
        <f>IF(ISNA(VLOOKUP($A158,'Species Library'!$A$6:$Z$150,COLUMN('Species Library'!T154),FALSE)), "",VLOOKUP($A158,'Species Library'!$A$6:$Z$150,COLUMN('Species Library'!T154),FALSE))</f>
        <v/>
      </c>
      <c r="X158" s="30" t="str">
        <f t="shared" si="11"/>
        <v/>
      </c>
      <c r="Y158" s="30" t="str">
        <f>IF(ISNA(VLOOKUP($A158,'Species Library'!$A$6:$Z$150,COLUMN('Species Library'!U154),FALSE)), "",VLOOKUP($A158,'Species Library'!$A$6:$Z$150,COLUMN('Species Library'!U154),FALSE))</f>
        <v/>
      </c>
      <c r="Z158" s="30" t="str">
        <f>IF(ISNA(VLOOKUP($A158,'Species Library'!$A$6:$Z$150,COLUMN('Species Library'!V154),FALSE)), "",VLOOKUP($A158,'Species Library'!$A$6:$Z$150,COLUMN('Species Library'!V154),FALSE))</f>
        <v/>
      </c>
      <c r="AA158" s="30" t="str">
        <f>IF(ISNA(VLOOKUP($A158,'Species Library'!$A$6:$Z$150,COLUMN('Species Library'!W154),FALSE)), "",VLOOKUP($A158,'Species Library'!$A$6:$Z$150,COLUMN('Species Library'!W154),FALSE))</f>
        <v/>
      </c>
      <c r="AB158" s="30" t="str">
        <f>IF(ISNA(VLOOKUP($A158,'Species Library'!$A$6:$Z$150,COLUMN('Species Library'!X154),FALSE)), "",VLOOKUP($A158,'Species Library'!$A$6:$Z$150,COLUMN('Species Library'!X154),FALSE))</f>
        <v/>
      </c>
      <c r="AC158" s="30" t="str">
        <f>IF(ISNA(VLOOKUP($A158,'Species Library'!$A$6:$Z$150,COLUMN('Species Library'!Y154),FALSE)), "",VLOOKUP($A158,'Species Library'!$A$6:$Z$150,COLUMN('Species Library'!Y154),FALSE))</f>
        <v/>
      </c>
      <c r="AD158" s="30" t="str">
        <f>IF(ISNA(VLOOKUP($A158,'Species Library'!$A$6:$Z$150,COLUMN('Species Library'!Z154),FALSE)), "",VLOOKUP($A158,'Species Library'!$A$6:$Z$150,COLUMN('Species Library'!Z154),FALSE))</f>
        <v/>
      </c>
    </row>
    <row r="159" spans="2:30" x14ac:dyDescent="0.4">
      <c r="B159" s="30" t="str">
        <f>IF(ISNA(VLOOKUP($A159,'Species Library'!$A$6:$Z$150,COLUMN('Species Library'!B155),FALSE)), "",VLOOKUP($A159,'Species Library'!$A$6:$Z$150,COLUMN('Species Library'!B155),FALSE))</f>
        <v/>
      </c>
      <c r="C159" s="30" t="str">
        <f>IF(ISNA(VLOOKUP($A159,'Species Library'!$A$6:$Z$150,COLUMN('Species Library'!C155),FALSE)), "",VLOOKUP($A159,'Species Library'!$A$6:$Z$150,COLUMN('Species Library'!C155),FALSE))</f>
        <v/>
      </c>
      <c r="D159" s="30" t="str">
        <f>IF(ISNA(VLOOKUP($A159,'Species Library'!$A$6:$Z$150,COLUMN('Species Library'!D155),FALSE)), "",VLOOKUP($A159,'Species Library'!$A$6:$Z$150,COLUMN('Species Library'!D155),FALSE))</f>
        <v/>
      </c>
      <c r="E159" s="30" t="str">
        <f>IF(ISNA(VLOOKUP($A159,'Species Library'!$A$6:$Z$150,COLUMN('Species Library'!E155),FALSE)), "",VLOOKUP($A159,'Species Library'!$A$6:$Z$150,COLUMN('Species Library'!E155),FALSE))</f>
        <v/>
      </c>
      <c r="F159" s="30" t="str">
        <f>IF(ISNA(VLOOKUP($A159,'Species Library'!$A$6:$Z$150,COLUMN('Species Library'!F155),FALSE)), "",VLOOKUP($A159,'Species Library'!$A$6:$Z$150,COLUMN('Species Library'!F155),FALSE))</f>
        <v/>
      </c>
      <c r="G159" s="30" t="str">
        <f t="shared" si="8"/>
        <v/>
      </c>
      <c r="H159" s="30" t="str">
        <f>IF(ISNA(VLOOKUP($A159,'Species Library'!$A$6:$Z$150,COLUMN('Species Library'!G155),FALSE)), "",VLOOKUP($A159,'Species Library'!$A$6:$Z$150,COLUMN('Species Library'!G155),FALSE))</f>
        <v/>
      </c>
      <c r="I159" s="30" t="str">
        <f>IF(ISNA(VLOOKUP($A159,'Species Library'!$A$6:$Z$150,COLUMN('Species Library'!H155),FALSE)), "",VLOOKUP($A159,'Species Library'!$A$6:$Z$150,COLUMN('Species Library'!H155),FALSE))</f>
        <v/>
      </c>
      <c r="J159" s="30" t="str">
        <f>IF(ISNA(VLOOKUP($A159,'Species Library'!$A$6:$Z$150,COLUMN('Species Library'!I155),FALSE)), "",VLOOKUP($A159,'Species Library'!$A$6:$Z$150,COLUMN('Species Library'!I155),FALSE))</f>
        <v/>
      </c>
      <c r="K159" s="30" t="str">
        <f>IF(ISNA(VLOOKUP($A159,'Species Library'!$A$6:$Z$150,COLUMN('Species Library'!J155),FALSE)), "",VLOOKUP($A159,'Species Library'!$A$6:$Z$150,COLUMN('Species Library'!J155),FALSE))</f>
        <v/>
      </c>
      <c r="L159" s="30" t="str">
        <f>IF(ISNA(VLOOKUP($A159,'Species Library'!$A$6:$Z$150,COLUMN('Species Library'!K155),FALSE)), "",VLOOKUP($A159,'Species Library'!$A$6:$Z$150,COLUMN('Species Library'!K155),FALSE))</f>
        <v/>
      </c>
      <c r="M159" s="30" t="str">
        <f t="shared" si="9"/>
        <v/>
      </c>
      <c r="N159" s="30" t="str">
        <f>IF(ISNA(VLOOKUP($A159,'Species Library'!$A$6:$Z$150,COLUMN('Species Library'!L155),FALSE)), "",VLOOKUP($A159,'Species Library'!$A$6:$Z$150,COLUMN('Species Library'!L155),FALSE))</f>
        <v/>
      </c>
      <c r="O159" s="30" t="str">
        <f>IF(ISNA(VLOOKUP($A159,'Species Library'!$A$6:$Z$150,COLUMN('Species Library'!M155),FALSE)), "",VLOOKUP($A159,'Species Library'!$A$6:$Z$150,COLUMN('Species Library'!M155),FALSE))</f>
        <v/>
      </c>
      <c r="P159" s="30" t="str">
        <f>IF(ISNA(VLOOKUP($A159,'Species Library'!$A$6:$Z$150,COLUMN('Species Library'!N155),FALSE)), "",VLOOKUP($A159,'Species Library'!$A$6:$Z$150,COLUMN('Species Library'!N155),FALSE))</f>
        <v/>
      </c>
      <c r="Q159" s="30" t="str">
        <f t="shared" si="10"/>
        <v/>
      </c>
      <c r="R159" s="30" t="str">
        <f>IF(ISNA(VLOOKUP($A159,'Species Library'!$A$6:$Z$150,COLUMN('Species Library'!O155),FALSE)), "",VLOOKUP($A159,'Species Library'!$A$6:$Z$150,COLUMN('Species Library'!O155),FALSE))</f>
        <v/>
      </c>
      <c r="S159" s="30" t="str">
        <f>IF(ISNA(VLOOKUP($A159,'Species Library'!$A$6:$Z$150,COLUMN('Species Library'!P155),FALSE)), "",VLOOKUP($A159,'Species Library'!$A$6:$Z$150,COLUMN('Species Library'!P155),FALSE))</f>
        <v/>
      </c>
      <c r="T159" s="30" t="str">
        <f>IF(ISNA(VLOOKUP($A159,'Species Library'!$A$6:$Z$150,COLUMN('Species Library'!Q155),FALSE)), "",VLOOKUP($A159,'Species Library'!$A$6:$Z$150,COLUMN('Species Library'!Q155),FALSE))</f>
        <v/>
      </c>
      <c r="U159" s="30" t="str">
        <f>IF(ISNA(VLOOKUP($A159,'Species Library'!$A$6:$Z$150,COLUMN('Species Library'!R155),FALSE)), "",VLOOKUP($A159,'Species Library'!$A$6:$Z$150,COLUMN('Species Library'!R155),FALSE))</f>
        <v/>
      </c>
      <c r="V159" s="30" t="str">
        <f>IF(ISNA(VLOOKUP($A159,'Species Library'!$A$6:$Z$150,COLUMN('Species Library'!S155),FALSE)), "",VLOOKUP($A159,'Species Library'!$A$6:$Z$150,COLUMN('Species Library'!S155),FALSE))</f>
        <v/>
      </c>
      <c r="W159" s="30" t="str">
        <f>IF(ISNA(VLOOKUP($A159,'Species Library'!$A$6:$Z$150,COLUMN('Species Library'!T155),FALSE)), "",VLOOKUP($A159,'Species Library'!$A$6:$Z$150,COLUMN('Species Library'!T155),FALSE))</f>
        <v/>
      </c>
      <c r="X159" s="30" t="str">
        <f t="shared" si="11"/>
        <v/>
      </c>
      <c r="Y159" s="30" t="str">
        <f>IF(ISNA(VLOOKUP($A159,'Species Library'!$A$6:$Z$150,COLUMN('Species Library'!U155),FALSE)), "",VLOOKUP($A159,'Species Library'!$A$6:$Z$150,COLUMN('Species Library'!U155),FALSE))</f>
        <v/>
      </c>
      <c r="Z159" s="30" t="str">
        <f>IF(ISNA(VLOOKUP($A159,'Species Library'!$A$6:$Z$150,COLUMN('Species Library'!V155),FALSE)), "",VLOOKUP($A159,'Species Library'!$A$6:$Z$150,COLUMN('Species Library'!V155),FALSE))</f>
        <v/>
      </c>
      <c r="AA159" s="30" t="str">
        <f>IF(ISNA(VLOOKUP($A159,'Species Library'!$A$6:$Z$150,COLUMN('Species Library'!W155),FALSE)), "",VLOOKUP($A159,'Species Library'!$A$6:$Z$150,COLUMN('Species Library'!W155),FALSE))</f>
        <v/>
      </c>
      <c r="AB159" s="30" t="str">
        <f>IF(ISNA(VLOOKUP($A159,'Species Library'!$A$6:$Z$150,COLUMN('Species Library'!X155),FALSE)), "",VLOOKUP($A159,'Species Library'!$A$6:$Z$150,COLUMN('Species Library'!X155),FALSE))</f>
        <v/>
      </c>
      <c r="AC159" s="30" t="str">
        <f>IF(ISNA(VLOOKUP($A159,'Species Library'!$A$6:$Z$150,COLUMN('Species Library'!Y155),FALSE)), "",VLOOKUP($A159,'Species Library'!$A$6:$Z$150,COLUMN('Species Library'!Y155),FALSE))</f>
        <v/>
      </c>
      <c r="AD159" s="30" t="str">
        <f>IF(ISNA(VLOOKUP($A159,'Species Library'!$A$6:$Z$150,COLUMN('Species Library'!Z155),FALSE)), "",VLOOKUP($A159,'Species Library'!$A$6:$Z$150,COLUMN('Species Library'!Z155),FALSE))</f>
        <v/>
      </c>
    </row>
    <row r="160" spans="2:30" x14ac:dyDescent="0.4">
      <c r="B160" s="30" t="str">
        <f>IF(ISNA(VLOOKUP($A160,'Species Library'!$A$6:$Z$150,COLUMN('Species Library'!B156),FALSE)), "",VLOOKUP($A160,'Species Library'!$A$6:$Z$150,COLUMN('Species Library'!B156),FALSE))</f>
        <v/>
      </c>
      <c r="C160" s="30" t="str">
        <f>IF(ISNA(VLOOKUP($A160,'Species Library'!$A$6:$Z$150,COLUMN('Species Library'!C156),FALSE)), "",VLOOKUP($A160,'Species Library'!$A$6:$Z$150,COLUMN('Species Library'!C156),FALSE))</f>
        <v/>
      </c>
      <c r="D160" s="30" t="str">
        <f>IF(ISNA(VLOOKUP($A160,'Species Library'!$A$6:$Z$150,COLUMN('Species Library'!D156),FALSE)), "",VLOOKUP($A160,'Species Library'!$A$6:$Z$150,COLUMN('Species Library'!D156),FALSE))</f>
        <v/>
      </c>
      <c r="E160" s="30" t="str">
        <f>IF(ISNA(VLOOKUP($A160,'Species Library'!$A$6:$Z$150,COLUMN('Species Library'!E156),FALSE)), "",VLOOKUP($A160,'Species Library'!$A$6:$Z$150,COLUMN('Species Library'!E156),FALSE))</f>
        <v/>
      </c>
      <c r="F160" s="30" t="str">
        <f>IF(ISNA(VLOOKUP($A160,'Species Library'!$A$6:$Z$150,COLUMN('Species Library'!F156),FALSE)), "",VLOOKUP($A160,'Species Library'!$A$6:$Z$150,COLUMN('Species Library'!F156),FALSE))</f>
        <v/>
      </c>
      <c r="G160" s="30" t="str">
        <f t="shared" si="8"/>
        <v/>
      </c>
      <c r="H160" s="30" t="str">
        <f>IF(ISNA(VLOOKUP($A160,'Species Library'!$A$6:$Z$150,COLUMN('Species Library'!G156),FALSE)), "",VLOOKUP($A160,'Species Library'!$A$6:$Z$150,COLUMN('Species Library'!G156),FALSE))</f>
        <v/>
      </c>
      <c r="I160" s="30" t="str">
        <f>IF(ISNA(VLOOKUP($A160,'Species Library'!$A$6:$Z$150,COLUMN('Species Library'!H156),FALSE)), "",VLOOKUP($A160,'Species Library'!$A$6:$Z$150,COLUMN('Species Library'!H156),FALSE))</f>
        <v/>
      </c>
      <c r="J160" s="30" t="str">
        <f>IF(ISNA(VLOOKUP($A160,'Species Library'!$A$6:$Z$150,COLUMN('Species Library'!I156),FALSE)), "",VLOOKUP($A160,'Species Library'!$A$6:$Z$150,COLUMN('Species Library'!I156),FALSE))</f>
        <v/>
      </c>
      <c r="K160" s="30" t="str">
        <f>IF(ISNA(VLOOKUP($A160,'Species Library'!$A$6:$Z$150,COLUMN('Species Library'!J156),FALSE)), "",VLOOKUP($A160,'Species Library'!$A$6:$Z$150,COLUMN('Species Library'!J156),FALSE))</f>
        <v/>
      </c>
      <c r="L160" s="30" t="str">
        <f>IF(ISNA(VLOOKUP($A160,'Species Library'!$A$6:$Z$150,COLUMN('Species Library'!K156),FALSE)), "",VLOOKUP($A160,'Species Library'!$A$6:$Z$150,COLUMN('Species Library'!K156),FALSE))</f>
        <v/>
      </c>
      <c r="M160" s="30" t="str">
        <f t="shared" si="9"/>
        <v/>
      </c>
      <c r="N160" s="30" t="str">
        <f>IF(ISNA(VLOOKUP($A160,'Species Library'!$A$6:$Z$150,COLUMN('Species Library'!L156),FALSE)), "",VLOOKUP($A160,'Species Library'!$A$6:$Z$150,COLUMN('Species Library'!L156),FALSE))</f>
        <v/>
      </c>
      <c r="O160" s="30" t="str">
        <f>IF(ISNA(VLOOKUP($A160,'Species Library'!$A$6:$Z$150,COLUMN('Species Library'!M156),FALSE)), "",VLOOKUP($A160,'Species Library'!$A$6:$Z$150,COLUMN('Species Library'!M156),FALSE))</f>
        <v/>
      </c>
      <c r="P160" s="30" t="str">
        <f>IF(ISNA(VLOOKUP($A160,'Species Library'!$A$6:$Z$150,COLUMN('Species Library'!N156),FALSE)), "",VLOOKUP($A160,'Species Library'!$A$6:$Z$150,COLUMN('Species Library'!N156),FALSE))</f>
        <v/>
      </c>
      <c r="Q160" s="30" t="str">
        <f t="shared" si="10"/>
        <v/>
      </c>
      <c r="R160" s="30" t="str">
        <f>IF(ISNA(VLOOKUP($A160,'Species Library'!$A$6:$Z$150,COLUMN('Species Library'!O156),FALSE)), "",VLOOKUP($A160,'Species Library'!$A$6:$Z$150,COLUMN('Species Library'!O156),FALSE))</f>
        <v/>
      </c>
      <c r="S160" s="30" t="str">
        <f>IF(ISNA(VLOOKUP($A160,'Species Library'!$A$6:$Z$150,COLUMN('Species Library'!P156),FALSE)), "",VLOOKUP($A160,'Species Library'!$A$6:$Z$150,COLUMN('Species Library'!P156),FALSE))</f>
        <v/>
      </c>
      <c r="T160" s="30" t="str">
        <f>IF(ISNA(VLOOKUP($A160,'Species Library'!$A$6:$Z$150,COLUMN('Species Library'!Q156),FALSE)), "",VLOOKUP($A160,'Species Library'!$A$6:$Z$150,COLUMN('Species Library'!Q156),FALSE))</f>
        <v/>
      </c>
      <c r="U160" s="30" t="str">
        <f>IF(ISNA(VLOOKUP($A160,'Species Library'!$A$6:$Z$150,COLUMN('Species Library'!R156),FALSE)), "",VLOOKUP($A160,'Species Library'!$A$6:$Z$150,COLUMN('Species Library'!R156),FALSE))</f>
        <v/>
      </c>
      <c r="V160" s="30" t="str">
        <f>IF(ISNA(VLOOKUP($A160,'Species Library'!$A$6:$Z$150,COLUMN('Species Library'!S156),FALSE)), "",VLOOKUP($A160,'Species Library'!$A$6:$Z$150,COLUMN('Species Library'!S156),FALSE))</f>
        <v/>
      </c>
      <c r="W160" s="30" t="str">
        <f>IF(ISNA(VLOOKUP($A160,'Species Library'!$A$6:$Z$150,COLUMN('Species Library'!T156),FALSE)), "",VLOOKUP($A160,'Species Library'!$A$6:$Z$150,COLUMN('Species Library'!T156),FALSE))</f>
        <v/>
      </c>
      <c r="X160" s="30" t="str">
        <f t="shared" si="11"/>
        <v/>
      </c>
      <c r="Y160" s="30" t="str">
        <f>IF(ISNA(VLOOKUP($A160,'Species Library'!$A$6:$Z$150,COLUMN('Species Library'!U156),FALSE)), "",VLOOKUP($A160,'Species Library'!$A$6:$Z$150,COLUMN('Species Library'!U156),FALSE))</f>
        <v/>
      </c>
      <c r="Z160" s="30" t="str">
        <f>IF(ISNA(VLOOKUP($A160,'Species Library'!$A$6:$Z$150,COLUMN('Species Library'!V156),FALSE)), "",VLOOKUP($A160,'Species Library'!$A$6:$Z$150,COLUMN('Species Library'!V156),FALSE))</f>
        <v/>
      </c>
      <c r="AA160" s="30" t="str">
        <f>IF(ISNA(VLOOKUP($A160,'Species Library'!$A$6:$Z$150,COLUMN('Species Library'!W156),FALSE)), "",VLOOKUP($A160,'Species Library'!$A$6:$Z$150,COLUMN('Species Library'!W156),FALSE))</f>
        <v/>
      </c>
      <c r="AB160" s="30" t="str">
        <f>IF(ISNA(VLOOKUP($A160,'Species Library'!$A$6:$Z$150,COLUMN('Species Library'!X156),FALSE)), "",VLOOKUP($A160,'Species Library'!$A$6:$Z$150,COLUMN('Species Library'!X156),FALSE))</f>
        <v/>
      </c>
      <c r="AC160" s="30" t="str">
        <f>IF(ISNA(VLOOKUP($A160,'Species Library'!$A$6:$Z$150,COLUMN('Species Library'!Y156),FALSE)), "",VLOOKUP($A160,'Species Library'!$A$6:$Z$150,COLUMN('Species Library'!Y156),FALSE))</f>
        <v/>
      </c>
      <c r="AD160" s="30" t="str">
        <f>IF(ISNA(VLOOKUP($A160,'Species Library'!$A$6:$Z$150,COLUMN('Species Library'!Z156),FALSE)), "",VLOOKUP($A160,'Species Library'!$A$6:$Z$150,COLUMN('Species Library'!Z156),FALSE))</f>
        <v/>
      </c>
    </row>
    <row r="161" spans="2:30" x14ac:dyDescent="0.4">
      <c r="B161" s="30" t="str">
        <f>IF(ISNA(VLOOKUP($A161,'Species Library'!$A$6:$Z$150,COLUMN('Species Library'!B157),FALSE)), "",VLOOKUP($A161,'Species Library'!$A$6:$Z$150,COLUMN('Species Library'!B157),FALSE))</f>
        <v/>
      </c>
      <c r="C161" s="30" t="str">
        <f>IF(ISNA(VLOOKUP($A161,'Species Library'!$A$6:$Z$150,COLUMN('Species Library'!C157),FALSE)), "",VLOOKUP($A161,'Species Library'!$A$6:$Z$150,COLUMN('Species Library'!C157),FALSE))</f>
        <v/>
      </c>
      <c r="D161" s="30" t="str">
        <f>IF(ISNA(VLOOKUP($A161,'Species Library'!$A$6:$Z$150,COLUMN('Species Library'!D157),FALSE)), "",VLOOKUP($A161,'Species Library'!$A$6:$Z$150,COLUMN('Species Library'!D157),FALSE))</f>
        <v/>
      </c>
      <c r="E161" s="30" t="str">
        <f>IF(ISNA(VLOOKUP($A161,'Species Library'!$A$6:$Z$150,COLUMN('Species Library'!E157),FALSE)), "",VLOOKUP($A161,'Species Library'!$A$6:$Z$150,COLUMN('Species Library'!E157),FALSE))</f>
        <v/>
      </c>
      <c r="F161" s="30" t="str">
        <f>IF(ISNA(VLOOKUP($A161,'Species Library'!$A$6:$Z$150,COLUMN('Species Library'!F157),FALSE)), "",VLOOKUP($A161,'Species Library'!$A$6:$Z$150,COLUMN('Species Library'!F157),FALSE))</f>
        <v/>
      </c>
      <c r="G161" s="30" t="str">
        <f t="shared" si="8"/>
        <v/>
      </c>
      <c r="H161" s="30" t="str">
        <f>IF(ISNA(VLOOKUP($A161,'Species Library'!$A$6:$Z$150,COLUMN('Species Library'!G157),FALSE)), "",VLOOKUP($A161,'Species Library'!$A$6:$Z$150,COLUMN('Species Library'!G157),FALSE))</f>
        <v/>
      </c>
      <c r="I161" s="30" t="str">
        <f>IF(ISNA(VLOOKUP($A161,'Species Library'!$A$6:$Z$150,COLUMN('Species Library'!H157),FALSE)), "",VLOOKUP($A161,'Species Library'!$A$6:$Z$150,COLUMN('Species Library'!H157),FALSE))</f>
        <v/>
      </c>
      <c r="J161" s="30" t="str">
        <f>IF(ISNA(VLOOKUP($A161,'Species Library'!$A$6:$Z$150,COLUMN('Species Library'!I157),FALSE)), "",VLOOKUP($A161,'Species Library'!$A$6:$Z$150,COLUMN('Species Library'!I157),FALSE))</f>
        <v/>
      </c>
      <c r="K161" s="30" t="str">
        <f>IF(ISNA(VLOOKUP($A161,'Species Library'!$A$6:$Z$150,COLUMN('Species Library'!J157),FALSE)), "",VLOOKUP($A161,'Species Library'!$A$6:$Z$150,COLUMN('Species Library'!J157),FALSE))</f>
        <v/>
      </c>
      <c r="L161" s="30" t="str">
        <f>IF(ISNA(VLOOKUP($A161,'Species Library'!$A$6:$Z$150,COLUMN('Species Library'!K157),FALSE)), "",VLOOKUP($A161,'Species Library'!$A$6:$Z$150,COLUMN('Species Library'!K157),FALSE))</f>
        <v/>
      </c>
      <c r="M161" s="30" t="str">
        <f t="shared" si="9"/>
        <v/>
      </c>
      <c r="N161" s="30" t="str">
        <f>IF(ISNA(VLOOKUP($A161,'Species Library'!$A$6:$Z$150,COLUMN('Species Library'!L157),FALSE)), "",VLOOKUP($A161,'Species Library'!$A$6:$Z$150,COLUMN('Species Library'!L157),FALSE))</f>
        <v/>
      </c>
      <c r="O161" s="30" t="str">
        <f>IF(ISNA(VLOOKUP($A161,'Species Library'!$A$6:$Z$150,COLUMN('Species Library'!M157),FALSE)), "",VLOOKUP($A161,'Species Library'!$A$6:$Z$150,COLUMN('Species Library'!M157),FALSE))</f>
        <v/>
      </c>
      <c r="P161" s="30" t="str">
        <f>IF(ISNA(VLOOKUP($A161,'Species Library'!$A$6:$Z$150,COLUMN('Species Library'!N157),FALSE)), "",VLOOKUP($A161,'Species Library'!$A$6:$Z$150,COLUMN('Species Library'!N157),FALSE))</f>
        <v/>
      </c>
      <c r="Q161" s="30" t="str">
        <f t="shared" si="10"/>
        <v/>
      </c>
      <c r="R161" s="30" t="str">
        <f>IF(ISNA(VLOOKUP($A161,'Species Library'!$A$6:$Z$150,COLUMN('Species Library'!O157),FALSE)), "",VLOOKUP($A161,'Species Library'!$A$6:$Z$150,COLUMN('Species Library'!O157),FALSE))</f>
        <v/>
      </c>
      <c r="S161" s="30" t="str">
        <f>IF(ISNA(VLOOKUP($A161,'Species Library'!$A$6:$Z$150,COLUMN('Species Library'!P157),FALSE)), "",VLOOKUP($A161,'Species Library'!$A$6:$Z$150,COLUMN('Species Library'!P157),FALSE))</f>
        <v/>
      </c>
      <c r="T161" s="30" t="str">
        <f>IF(ISNA(VLOOKUP($A161,'Species Library'!$A$6:$Z$150,COLUMN('Species Library'!Q157),FALSE)), "",VLOOKUP($A161,'Species Library'!$A$6:$Z$150,COLUMN('Species Library'!Q157),FALSE))</f>
        <v/>
      </c>
      <c r="U161" s="30" t="str">
        <f>IF(ISNA(VLOOKUP($A161,'Species Library'!$A$6:$Z$150,COLUMN('Species Library'!R157),FALSE)), "",VLOOKUP($A161,'Species Library'!$A$6:$Z$150,COLUMN('Species Library'!R157),FALSE))</f>
        <v/>
      </c>
      <c r="V161" s="30" t="str">
        <f>IF(ISNA(VLOOKUP($A161,'Species Library'!$A$6:$Z$150,COLUMN('Species Library'!S157),FALSE)), "",VLOOKUP($A161,'Species Library'!$A$6:$Z$150,COLUMN('Species Library'!S157),FALSE))</f>
        <v/>
      </c>
      <c r="W161" s="30" t="str">
        <f>IF(ISNA(VLOOKUP($A161,'Species Library'!$A$6:$Z$150,COLUMN('Species Library'!T157),FALSE)), "",VLOOKUP($A161,'Species Library'!$A$6:$Z$150,COLUMN('Species Library'!T157),FALSE))</f>
        <v/>
      </c>
      <c r="X161" s="30" t="str">
        <f t="shared" si="11"/>
        <v/>
      </c>
      <c r="Y161" s="30" t="str">
        <f>IF(ISNA(VLOOKUP($A161,'Species Library'!$A$6:$Z$150,COLUMN('Species Library'!U157),FALSE)), "",VLOOKUP($A161,'Species Library'!$A$6:$Z$150,COLUMN('Species Library'!U157),FALSE))</f>
        <v/>
      </c>
      <c r="Z161" s="30" t="str">
        <f>IF(ISNA(VLOOKUP($A161,'Species Library'!$A$6:$Z$150,COLUMN('Species Library'!V157),FALSE)), "",VLOOKUP($A161,'Species Library'!$A$6:$Z$150,COLUMN('Species Library'!V157),FALSE))</f>
        <v/>
      </c>
      <c r="AA161" s="30" t="str">
        <f>IF(ISNA(VLOOKUP($A161,'Species Library'!$A$6:$Z$150,COLUMN('Species Library'!W157),FALSE)), "",VLOOKUP($A161,'Species Library'!$A$6:$Z$150,COLUMN('Species Library'!W157),FALSE))</f>
        <v/>
      </c>
      <c r="AB161" s="30" t="str">
        <f>IF(ISNA(VLOOKUP($A161,'Species Library'!$A$6:$Z$150,COLUMN('Species Library'!X157),FALSE)), "",VLOOKUP($A161,'Species Library'!$A$6:$Z$150,COLUMN('Species Library'!X157),FALSE))</f>
        <v/>
      </c>
      <c r="AC161" s="30" t="str">
        <f>IF(ISNA(VLOOKUP($A161,'Species Library'!$A$6:$Z$150,COLUMN('Species Library'!Y157),FALSE)), "",VLOOKUP($A161,'Species Library'!$A$6:$Z$150,COLUMN('Species Library'!Y157),FALSE))</f>
        <v/>
      </c>
      <c r="AD161" s="30" t="str">
        <f>IF(ISNA(VLOOKUP($A161,'Species Library'!$A$6:$Z$150,COLUMN('Species Library'!Z157),FALSE)), "",VLOOKUP($A161,'Species Library'!$A$6:$Z$150,COLUMN('Species Library'!Z157),FALSE))</f>
        <v/>
      </c>
    </row>
    <row r="162" spans="2:30" x14ac:dyDescent="0.4">
      <c r="B162" s="30" t="str">
        <f>IF(ISNA(VLOOKUP($A162,'Species Library'!$A$6:$Z$150,COLUMN('Species Library'!B158),FALSE)), "",VLOOKUP($A162,'Species Library'!$A$6:$Z$150,COLUMN('Species Library'!B158),FALSE))</f>
        <v/>
      </c>
      <c r="C162" s="30" t="str">
        <f>IF(ISNA(VLOOKUP($A162,'Species Library'!$A$6:$Z$150,COLUMN('Species Library'!C158),FALSE)), "",VLOOKUP($A162,'Species Library'!$A$6:$Z$150,COLUMN('Species Library'!C158),FALSE))</f>
        <v/>
      </c>
      <c r="D162" s="30" t="str">
        <f>IF(ISNA(VLOOKUP($A162,'Species Library'!$A$6:$Z$150,COLUMN('Species Library'!D158),FALSE)), "",VLOOKUP($A162,'Species Library'!$A$6:$Z$150,COLUMN('Species Library'!D158),FALSE))</f>
        <v/>
      </c>
      <c r="E162" s="30" t="str">
        <f>IF(ISNA(VLOOKUP($A162,'Species Library'!$A$6:$Z$150,COLUMN('Species Library'!E158),FALSE)), "",VLOOKUP($A162,'Species Library'!$A$6:$Z$150,COLUMN('Species Library'!E158),FALSE))</f>
        <v/>
      </c>
      <c r="F162" s="30" t="str">
        <f>IF(ISNA(VLOOKUP($A162,'Species Library'!$A$6:$Z$150,COLUMN('Species Library'!F158),FALSE)), "",VLOOKUP($A162,'Species Library'!$A$6:$Z$150,COLUMN('Species Library'!F158),FALSE))</f>
        <v/>
      </c>
      <c r="G162" s="30" t="str">
        <f t="shared" si="8"/>
        <v/>
      </c>
      <c r="H162" s="30" t="str">
        <f>IF(ISNA(VLOOKUP($A162,'Species Library'!$A$6:$Z$150,COLUMN('Species Library'!G158),FALSE)), "",VLOOKUP($A162,'Species Library'!$A$6:$Z$150,COLUMN('Species Library'!G158),FALSE))</f>
        <v/>
      </c>
      <c r="I162" s="30" t="str">
        <f>IF(ISNA(VLOOKUP($A162,'Species Library'!$A$6:$Z$150,COLUMN('Species Library'!H158),FALSE)), "",VLOOKUP($A162,'Species Library'!$A$6:$Z$150,COLUMN('Species Library'!H158),FALSE))</f>
        <v/>
      </c>
      <c r="J162" s="30" t="str">
        <f>IF(ISNA(VLOOKUP($A162,'Species Library'!$A$6:$Z$150,COLUMN('Species Library'!I158),FALSE)), "",VLOOKUP($A162,'Species Library'!$A$6:$Z$150,COLUMN('Species Library'!I158),FALSE))</f>
        <v/>
      </c>
      <c r="K162" s="30" t="str">
        <f>IF(ISNA(VLOOKUP($A162,'Species Library'!$A$6:$Z$150,COLUMN('Species Library'!J158),FALSE)), "",VLOOKUP($A162,'Species Library'!$A$6:$Z$150,COLUMN('Species Library'!J158),FALSE))</f>
        <v/>
      </c>
      <c r="L162" s="30" t="str">
        <f>IF(ISNA(VLOOKUP($A162,'Species Library'!$A$6:$Z$150,COLUMN('Species Library'!K158),FALSE)), "",VLOOKUP($A162,'Species Library'!$A$6:$Z$150,COLUMN('Species Library'!K158),FALSE))</f>
        <v/>
      </c>
      <c r="M162" s="30" t="str">
        <f t="shared" si="9"/>
        <v/>
      </c>
      <c r="N162" s="30" t="str">
        <f>IF(ISNA(VLOOKUP($A162,'Species Library'!$A$6:$Z$150,COLUMN('Species Library'!L158),FALSE)), "",VLOOKUP($A162,'Species Library'!$A$6:$Z$150,COLUMN('Species Library'!L158),FALSE))</f>
        <v/>
      </c>
      <c r="O162" s="30" t="str">
        <f>IF(ISNA(VLOOKUP($A162,'Species Library'!$A$6:$Z$150,COLUMN('Species Library'!M158),FALSE)), "",VLOOKUP($A162,'Species Library'!$A$6:$Z$150,COLUMN('Species Library'!M158),FALSE))</f>
        <v/>
      </c>
      <c r="P162" s="30" t="str">
        <f>IF(ISNA(VLOOKUP($A162,'Species Library'!$A$6:$Z$150,COLUMN('Species Library'!N158),FALSE)), "",VLOOKUP($A162,'Species Library'!$A$6:$Z$150,COLUMN('Species Library'!N158),FALSE))</f>
        <v/>
      </c>
      <c r="Q162" s="30" t="str">
        <f t="shared" si="10"/>
        <v/>
      </c>
      <c r="R162" s="30" t="str">
        <f>IF(ISNA(VLOOKUP($A162,'Species Library'!$A$6:$Z$150,COLUMN('Species Library'!O158),FALSE)), "",VLOOKUP($A162,'Species Library'!$A$6:$Z$150,COLUMN('Species Library'!O158),FALSE))</f>
        <v/>
      </c>
      <c r="S162" s="30" t="str">
        <f>IF(ISNA(VLOOKUP($A162,'Species Library'!$A$6:$Z$150,COLUMN('Species Library'!P158),FALSE)), "",VLOOKUP($A162,'Species Library'!$A$6:$Z$150,COLUMN('Species Library'!P158),FALSE))</f>
        <v/>
      </c>
      <c r="T162" s="30" t="str">
        <f>IF(ISNA(VLOOKUP($A162,'Species Library'!$A$6:$Z$150,COLUMN('Species Library'!Q158),FALSE)), "",VLOOKUP($A162,'Species Library'!$A$6:$Z$150,COLUMN('Species Library'!Q158),FALSE))</f>
        <v/>
      </c>
      <c r="U162" s="30" t="str">
        <f>IF(ISNA(VLOOKUP($A162,'Species Library'!$A$6:$Z$150,COLUMN('Species Library'!R158),FALSE)), "",VLOOKUP($A162,'Species Library'!$A$6:$Z$150,COLUMN('Species Library'!R158),FALSE))</f>
        <v/>
      </c>
      <c r="V162" s="30" t="str">
        <f>IF(ISNA(VLOOKUP($A162,'Species Library'!$A$6:$Z$150,COLUMN('Species Library'!S158),FALSE)), "",VLOOKUP($A162,'Species Library'!$A$6:$Z$150,COLUMN('Species Library'!S158),FALSE))</f>
        <v/>
      </c>
      <c r="W162" s="30" t="str">
        <f>IF(ISNA(VLOOKUP($A162,'Species Library'!$A$6:$Z$150,COLUMN('Species Library'!T158),FALSE)), "",VLOOKUP($A162,'Species Library'!$A$6:$Z$150,COLUMN('Species Library'!T158),FALSE))</f>
        <v/>
      </c>
      <c r="X162" s="30" t="str">
        <f t="shared" si="11"/>
        <v/>
      </c>
      <c r="Y162" s="30" t="str">
        <f>IF(ISNA(VLOOKUP($A162,'Species Library'!$A$6:$Z$150,COLUMN('Species Library'!U158),FALSE)), "",VLOOKUP($A162,'Species Library'!$A$6:$Z$150,COLUMN('Species Library'!U158),FALSE))</f>
        <v/>
      </c>
      <c r="Z162" s="30" t="str">
        <f>IF(ISNA(VLOOKUP($A162,'Species Library'!$A$6:$Z$150,COLUMN('Species Library'!V158),FALSE)), "",VLOOKUP($A162,'Species Library'!$A$6:$Z$150,COLUMN('Species Library'!V158),FALSE))</f>
        <v/>
      </c>
      <c r="AA162" s="30" t="str">
        <f>IF(ISNA(VLOOKUP($A162,'Species Library'!$A$6:$Z$150,COLUMN('Species Library'!W158),FALSE)), "",VLOOKUP($A162,'Species Library'!$A$6:$Z$150,COLUMN('Species Library'!W158),FALSE))</f>
        <v/>
      </c>
      <c r="AB162" s="30" t="str">
        <f>IF(ISNA(VLOOKUP($A162,'Species Library'!$A$6:$Z$150,COLUMN('Species Library'!X158),FALSE)), "",VLOOKUP($A162,'Species Library'!$A$6:$Z$150,COLUMN('Species Library'!X158),FALSE))</f>
        <v/>
      </c>
      <c r="AC162" s="30" t="str">
        <f>IF(ISNA(VLOOKUP($A162,'Species Library'!$A$6:$Z$150,COLUMN('Species Library'!Y158),FALSE)), "",VLOOKUP($A162,'Species Library'!$A$6:$Z$150,COLUMN('Species Library'!Y158),FALSE))</f>
        <v/>
      </c>
      <c r="AD162" s="30" t="str">
        <f>IF(ISNA(VLOOKUP($A162,'Species Library'!$A$6:$Z$150,COLUMN('Species Library'!Z158),FALSE)), "",VLOOKUP($A162,'Species Library'!$A$6:$Z$150,COLUMN('Species Library'!Z158),FALSE))</f>
        <v/>
      </c>
    </row>
    <row r="163" spans="2:30" x14ac:dyDescent="0.4">
      <c r="B163" s="30" t="str">
        <f>IF(ISNA(VLOOKUP($A163,'Species Library'!$A$6:$Z$150,COLUMN('Species Library'!B159),FALSE)), "",VLOOKUP($A163,'Species Library'!$A$6:$Z$150,COLUMN('Species Library'!B159),FALSE))</f>
        <v/>
      </c>
      <c r="C163" s="30" t="str">
        <f>IF(ISNA(VLOOKUP($A163,'Species Library'!$A$6:$Z$150,COLUMN('Species Library'!C159),FALSE)), "",VLOOKUP($A163,'Species Library'!$A$6:$Z$150,COLUMN('Species Library'!C159),FALSE))</f>
        <v/>
      </c>
      <c r="D163" s="30" t="str">
        <f>IF(ISNA(VLOOKUP($A163,'Species Library'!$A$6:$Z$150,COLUMN('Species Library'!D159),FALSE)), "",VLOOKUP($A163,'Species Library'!$A$6:$Z$150,COLUMN('Species Library'!D159),FALSE))</f>
        <v/>
      </c>
      <c r="E163" s="30" t="str">
        <f>IF(ISNA(VLOOKUP($A163,'Species Library'!$A$6:$Z$150,COLUMN('Species Library'!E159),FALSE)), "",VLOOKUP($A163,'Species Library'!$A$6:$Z$150,COLUMN('Species Library'!E159),FALSE))</f>
        <v/>
      </c>
      <c r="F163" s="30" t="str">
        <f>IF(ISNA(VLOOKUP($A163,'Species Library'!$A$6:$Z$150,COLUMN('Species Library'!F159),FALSE)), "",VLOOKUP($A163,'Species Library'!$A$6:$Z$150,COLUMN('Species Library'!F159),FALSE))</f>
        <v/>
      </c>
      <c r="G163" s="30" t="str">
        <f t="shared" si="8"/>
        <v/>
      </c>
      <c r="H163" s="30" t="str">
        <f>IF(ISNA(VLOOKUP($A163,'Species Library'!$A$6:$Z$150,COLUMN('Species Library'!G159),FALSE)), "",VLOOKUP($A163,'Species Library'!$A$6:$Z$150,COLUMN('Species Library'!G159),FALSE))</f>
        <v/>
      </c>
      <c r="I163" s="30" t="str">
        <f>IF(ISNA(VLOOKUP($A163,'Species Library'!$A$6:$Z$150,COLUMN('Species Library'!H159),FALSE)), "",VLOOKUP($A163,'Species Library'!$A$6:$Z$150,COLUMN('Species Library'!H159),FALSE))</f>
        <v/>
      </c>
      <c r="J163" s="30" t="str">
        <f>IF(ISNA(VLOOKUP($A163,'Species Library'!$A$6:$Z$150,COLUMN('Species Library'!I159),FALSE)), "",VLOOKUP($A163,'Species Library'!$A$6:$Z$150,COLUMN('Species Library'!I159),FALSE))</f>
        <v/>
      </c>
      <c r="K163" s="30" t="str">
        <f>IF(ISNA(VLOOKUP($A163,'Species Library'!$A$6:$Z$150,COLUMN('Species Library'!J159),FALSE)), "",VLOOKUP($A163,'Species Library'!$A$6:$Z$150,COLUMN('Species Library'!J159),FALSE))</f>
        <v/>
      </c>
      <c r="L163" s="30" t="str">
        <f>IF(ISNA(VLOOKUP($A163,'Species Library'!$A$6:$Z$150,COLUMN('Species Library'!K159),FALSE)), "",VLOOKUP($A163,'Species Library'!$A$6:$Z$150,COLUMN('Species Library'!K159),FALSE))</f>
        <v/>
      </c>
      <c r="M163" s="30" t="str">
        <f t="shared" si="9"/>
        <v/>
      </c>
      <c r="N163" s="30" t="str">
        <f>IF(ISNA(VLOOKUP($A163,'Species Library'!$A$6:$Z$150,COLUMN('Species Library'!L159),FALSE)), "",VLOOKUP($A163,'Species Library'!$A$6:$Z$150,COLUMN('Species Library'!L159),FALSE))</f>
        <v/>
      </c>
      <c r="O163" s="30" t="str">
        <f>IF(ISNA(VLOOKUP($A163,'Species Library'!$A$6:$Z$150,COLUMN('Species Library'!M159),FALSE)), "",VLOOKUP($A163,'Species Library'!$A$6:$Z$150,COLUMN('Species Library'!M159),FALSE))</f>
        <v/>
      </c>
      <c r="P163" s="30" t="str">
        <f>IF(ISNA(VLOOKUP($A163,'Species Library'!$A$6:$Z$150,COLUMN('Species Library'!N159),FALSE)), "",VLOOKUP($A163,'Species Library'!$A$6:$Z$150,COLUMN('Species Library'!N159),FALSE))</f>
        <v/>
      </c>
      <c r="Q163" s="30" t="str">
        <f t="shared" si="10"/>
        <v/>
      </c>
      <c r="R163" s="30" t="str">
        <f>IF(ISNA(VLOOKUP($A163,'Species Library'!$A$6:$Z$150,COLUMN('Species Library'!O159),FALSE)), "",VLOOKUP($A163,'Species Library'!$A$6:$Z$150,COLUMN('Species Library'!O159),FALSE))</f>
        <v/>
      </c>
      <c r="S163" s="30" t="str">
        <f>IF(ISNA(VLOOKUP($A163,'Species Library'!$A$6:$Z$150,COLUMN('Species Library'!P159),FALSE)), "",VLOOKUP($A163,'Species Library'!$A$6:$Z$150,COLUMN('Species Library'!P159),FALSE))</f>
        <v/>
      </c>
      <c r="T163" s="30" t="str">
        <f>IF(ISNA(VLOOKUP($A163,'Species Library'!$A$6:$Z$150,COLUMN('Species Library'!Q159),FALSE)), "",VLOOKUP($A163,'Species Library'!$A$6:$Z$150,COLUMN('Species Library'!Q159),FALSE))</f>
        <v/>
      </c>
      <c r="U163" s="30" t="str">
        <f>IF(ISNA(VLOOKUP($A163,'Species Library'!$A$6:$Z$150,COLUMN('Species Library'!R159),FALSE)), "",VLOOKUP($A163,'Species Library'!$A$6:$Z$150,COLUMN('Species Library'!R159),FALSE))</f>
        <v/>
      </c>
      <c r="V163" s="30" t="str">
        <f>IF(ISNA(VLOOKUP($A163,'Species Library'!$A$6:$Z$150,COLUMN('Species Library'!S159),FALSE)), "",VLOOKUP($A163,'Species Library'!$A$6:$Z$150,COLUMN('Species Library'!S159),FALSE))</f>
        <v/>
      </c>
      <c r="W163" s="30" t="str">
        <f>IF(ISNA(VLOOKUP($A163,'Species Library'!$A$6:$Z$150,COLUMN('Species Library'!T159),FALSE)), "",VLOOKUP($A163,'Species Library'!$A$6:$Z$150,COLUMN('Species Library'!T159),FALSE))</f>
        <v/>
      </c>
      <c r="X163" s="30" t="str">
        <f t="shared" si="11"/>
        <v/>
      </c>
      <c r="Y163" s="30" t="str">
        <f>IF(ISNA(VLOOKUP($A163,'Species Library'!$A$6:$Z$150,COLUMN('Species Library'!U159),FALSE)), "",VLOOKUP($A163,'Species Library'!$A$6:$Z$150,COLUMN('Species Library'!U159),FALSE))</f>
        <v/>
      </c>
      <c r="Z163" s="30" t="str">
        <f>IF(ISNA(VLOOKUP($A163,'Species Library'!$A$6:$Z$150,COLUMN('Species Library'!V159),FALSE)), "",VLOOKUP($A163,'Species Library'!$A$6:$Z$150,COLUMN('Species Library'!V159),FALSE))</f>
        <v/>
      </c>
      <c r="AA163" s="30" t="str">
        <f>IF(ISNA(VLOOKUP($A163,'Species Library'!$A$6:$Z$150,COLUMN('Species Library'!W159),FALSE)), "",VLOOKUP($A163,'Species Library'!$A$6:$Z$150,COLUMN('Species Library'!W159),FALSE))</f>
        <v/>
      </c>
      <c r="AB163" s="30" t="str">
        <f>IF(ISNA(VLOOKUP($A163,'Species Library'!$A$6:$Z$150,COLUMN('Species Library'!X159),FALSE)), "",VLOOKUP($A163,'Species Library'!$A$6:$Z$150,COLUMN('Species Library'!X159),FALSE))</f>
        <v/>
      </c>
      <c r="AC163" s="30" t="str">
        <f>IF(ISNA(VLOOKUP($A163,'Species Library'!$A$6:$Z$150,COLUMN('Species Library'!Y159),FALSE)), "",VLOOKUP($A163,'Species Library'!$A$6:$Z$150,COLUMN('Species Library'!Y159),FALSE))</f>
        <v/>
      </c>
      <c r="AD163" s="30" t="str">
        <f>IF(ISNA(VLOOKUP($A163,'Species Library'!$A$6:$Z$150,COLUMN('Species Library'!Z159),FALSE)), "",VLOOKUP($A163,'Species Library'!$A$6:$Z$150,COLUMN('Species Library'!Z159),FALSE))</f>
        <v/>
      </c>
    </row>
    <row r="164" spans="2:30" x14ac:dyDescent="0.4">
      <c r="B164" s="30" t="str">
        <f>IF(ISNA(VLOOKUP($A164,'Species Library'!$A$6:$Z$150,COLUMN('Species Library'!B160),FALSE)), "",VLOOKUP($A164,'Species Library'!$A$6:$Z$150,COLUMN('Species Library'!B160),FALSE))</f>
        <v/>
      </c>
      <c r="C164" s="30" t="str">
        <f>IF(ISNA(VLOOKUP($A164,'Species Library'!$A$6:$Z$150,COLUMN('Species Library'!C160),FALSE)), "",VLOOKUP($A164,'Species Library'!$A$6:$Z$150,COLUMN('Species Library'!C160),FALSE))</f>
        <v/>
      </c>
      <c r="D164" s="30" t="str">
        <f>IF(ISNA(VLOOKUP($A164,'Species Library'!$A$6:$Z$150,COLUMN('Species Library'!D160),FALSE)), "",VLOOKUP($A164,'Species Library'!$A$6:$Z$150,COLUMN('Species Library'!D160),FALSE))</f>
        <v/>
      </c>
      <c r="E164" s="30" t="str">
        <f>IF(ISNA(VLOOKUP($A164,'Species Library'!$A$6:$Z$150,COLUMN('Species Library'!E160),FALSE)), "",VLOOKUP($A164,'Species Library'!$A$6:$Z$150,COLUMN('Species Library'!E160),FALSE))</f>
        <v/>
      </c>
      <c r="F164" s="30" t="str">
        <f>IF(ISNA(VLOOKUP($A164,'Species Library'!$A$6:$Z$150,COLUMN('Species Library'!F160),FALSE)), "",VLOOKUP($A164,'Species Library'!$A$6:$Z$150,COLUMN('Species Library'!F160),FALSE))</f>
        <v/>
      </c>
      <c r="G164" s="30" t="str">
        <f t="shared" si="8"/>
        <v/>
      </c>
      <c r="H164" s="30" t="str">
        <f>IF(ISNA(VLOOKUP($A164,'Species Library'!$A$6:$Z$150,COLUMN('Species Library'!G160),FALSE)), "",VLOOKUP($A164,'Species Library'!$A$6:$Z$150,COLUMN('Species Library'!G160),FALSE))</f>
        <v/>
      </c>
      <c r="I164" s="30" t="str">
        <f>IF(ISNA(VLOOKUP($A164,'Species Library'!$A$6:$Z$150,COLUMN('Species Library'!H160),FALSE)), "",VLOOKUP($A164,'Species Library'!$A$6:$Z$150,COLUMN('Species Library'!H160),FALSE))</f>
        <v/>
      </c>
      <c r="J164" s="30" t="str">
        <f>IF(ISNA(VLOOKUP($A164,'Species Library'!$A$6:$Z$150,COLUMN('Species Library'!I160),FALSE)), "",VLOOKUP($A164,'Species Library'!$A$6:$Z$150,COLUMN('Species Library'!I160),FALSE))</f>
        <v/>
      </c>
      <c r="K164" s="30" t="str">
        <f>IF(ISNA(VLOOKUP($A164,'Species Library'!$A$6:$Z$150,COLUMN('Species Library'!J160),FALSE)), "",VLOOKUP($A164,'Species Library'!$A$6:$Z$150,COLUMN('Species Library'!J160),FALSE))</f>
        <v/>
      </c>
      <c r="L164" s="30" t="str">
        <f>IF(ISNA(VLOOKUP($A164,'Species Library'!$A$6:$Z$150,COLUMN('Species Library'!K160),FALSE)), "",VLOOKUP($A164,'Species Library'!$A$6:$Z$150,COLUMN('Species Library'!K160),FALSE))</f>
        <v/>
      </c>
      <c r="M164" s="30" t="str">
        <f t="shared" si="9"/>
        <v/>
      </c>
      <c r="N164" s="30" t="str">
        <f>IF(ISNA(VLOOKUP($A164,'Species Library'!$A$6:$Z$150,COLUMN('Species Library'!L160),FALSE)), "",VLOOKUP($A164,'Species Library'!$A$6:$Z$150,COLUMN('Species Library'!L160),FALSE))</f>
        <v/>
      </c>
      <c r="O164" s="30" t="str">
        <f>IF(ISNA(VLOOKUP($A164,'Species Library'!$A$6:$Z$150,COLUMN('Species Library'!M160),FALSE)), "",VLOOKUP($A164,'Species Library'!$A$6:$Z$150,COLUMN('Species Library'!M160),FALSE))</f>
        <v/>
      </c>
      <c r="P164" s="30" t="str">
        <f>IF(ISNA(VLOOKUP($A164,'Species Library'!$A$6:$Z$150,COLUMN('Species Library'!N160),FALSE)), "",VLOOKUP($A164,'Species Library'!$A$6:$Z$150,COLUMN('Species Library'!N160),FALSE))</f>
        <v/>
      </c>
      <c r="Q164" s="30" t="str">
        <f t="shared" si="10"/>
        <v/>
      </c>
      <c r="R164" s="30" t="str">
        <f>IF(ISNA(VLOOKUP($A164,'Species Library'!$A$6:$Z$150,COLUMN('Species Library'!O160),FALSE)), "",VLOOKUP($A164,'Species Library'!$A$6:$Z$150,COLUMN('Species Library'!O160),FALSE))</f>
        <v/>
      </c>
      <c r="S164" s="30" t="str">
        <f>IF(ISNA(VLOOKUP($A164,'Species Library'!$A$6:$Z$150,COLUMN('Species Library'!P160),FALSE)), "",VLOOKUP($A164,'Species Library'!$A$6:$Z$150,COLUMN('Species Library'!P160),FALSE))</f>
        <v/>
      </c>
      <c r="T164" s="30" t="str">
        <f>IF(ISNA(VLOOKUP($A164,'Species Library'!$A$6:$Z$150,COLUMN('Species Library'!Q160),FALSE)), "",VLOOKUP($A164,'Species Library'!$A$6:$Z$150,COLUMN('Species Library'!Q160),FALSE))</f>
        <v/>
      </c>
      <c r="U164" s="30" t="str">
        <f>IF(ISNA(VLOOKUP($A164,'Species Library'!$A$6:$Z$150,COLUMN('Species Library'!R160),FALSE)), "",VLOOKUP($A164,'Species Library'!$A$6:$Z$150,COLUMN('Species Library'!R160),FALSE))</f>
        <v/>
      </c>
      <c r="V164" s="30" t="str">
        <f>IF(ISNA(VLOOKUP($A164,'Species Library'!$A$6:$Z$150,COLUMN('Species Library'!S160),FALSE)), "",VLOOKUP($A164,'Species Library'!$A$6:$Z$150,COLUMN('Species Library'!S160),FALSE))</f>
        <v/>
      </c>
      <c r="W164" s="30" t="str">
        <f>IF(ISNA(VLOOKUP($A164,'Species Library'!$A$6:$Z$150,COLUMN('Species Library'!T160),FALSE)), "",VLOOKUP($A164,'Species Library'!$A$6:$Z$150,COLUMN('Species Library'!T160),FALSE))</f>
        <v/>
      </c>
      <c r="X164" s="30" t="str">
        <f t="shared" si="11"/>
        <v/>
      </c>
      <c r="Y164" s="30" t="str">
        <f>IF(ISNA(VLOOKUP($A164,'Species Library'!$A$6:$Z$150,COLUMN('Species Library'!U160),FALSE)), "",VLOOKUP($A164,'Species Library'!$A$6:$Z$150,COLUMN('Species Library'!U160),FALSE))</f>
        <v/>
      </c>
      <c r="Z164" s="30" t="str">
        <f>IF(ISNA(VLOOKUP($A164,'Species Library'!$A$6:$Z$150,COLUMN('Species Library'!V160),FALSE)), "",VLOOKUP($A164,'Species Library'!$A$6:$Z$150,COLUMN('Species Library'!V160),FALSE))</f>
        <v/>
      </c>
      <c r="AA164" s="30" t="str">
        <f>IF(ISNA(VLOOKUP($A164,'Species Library'!$A$6:$Z$150,COLUMN('Species Library'!W160),FALSE)), "",VLOOKUP($A164,'Species Library'!$A$6:$Z$150,COLUMN('Species Library'!W160),FALSE))</f>
        <v/>
      </c>
      <c r="AB164" s="30" t="str">
        <f>IF(ISNA(VLOOKUP($A164,'Species Library'!$A$6:$Z$150,COLUMN('Species Library'!X160),FALSE)), "",VLOOKUP($A164,'Species Library'!$A$6:$Z$150,COLUMN('Species Library'!X160),FALSE))</f>
        <v/>
      </c>
      <c r="AC164" s="30" t="str">
        <f>IF(ISNA(VLOOKUP($A164,'Species Library'!$A$6:$Z$150,COLUMN('Species Library'!Y160),FALSE)), "",VLOOKUP($A164,'Species Library'!$A$6:$Z$150,COLUMN('Species Library'!Y160),FALSE))</f>
        <v/>
      </c>
      <c r="AD164" s="30" t="str">
        <f>IF(ISNA(VLOOKUP($A164,'Species Library'!$A$6:$Z$150,COLUMN('Species Library'!Z160),FALSE)), "",VLOOKUP($A164,'Species Library'!$A$6:$Z$150,COLUMN('Species Library'!Z160),FALSE))</f>
        <v/>
      </c>
    </row>
    <row r="165" spans="2:30" x14ac:dyDescent="0.4">
      <c r="B165" s="30" t="str">
        <f>IF(ISNA(VLOOKUP($A165,'Species Library'!$A$6:$Z$150,COLUMN('Species Library'!B161),FALSE)), "",VLOOKUP($A165,'Species Library'!$A$6:$Z$150,COLUMN('Species Library'!B161),FALSE))</f>
        <v/>
      </c>
      <c r="C165" s="30" t="str">
        <f>IF(ISNA(VLOOKUP($A165,'Species Library'!$A$6:$Z$150,COLUMN('Species Library'!C161),FALSE)), "",VLOOKUP($A165,'Species Library'!$A$6:$Z$150,COLUMN('Species Library'!C161),FALSE))</f>
        <v/>
      </c>
      <c r="D165" s="30" t="str">
        <f>IF(ISNA(VLOOKUP($A165,'Species Library'!$A$6:$Z$150,COLUMN('Species Library'!D161),FALSE)), "",VLOOKUP($A165,'Species Library'!$A$6:$Z$150,COLUMN('Species Library'!D161),FALSE))</f>
        <v/>
      </c>
      <c r="E165" s="30" t="str">
        <f>IF(ISNA(VLOOKUP($A165,'Species Library'!$A$6:$Z$150,COLUMN('Species Library'!E161),FALSE)), "",VLOOKUP($A165,'Species Library'!$A$6:$Z$150,COLUMN('Species Library'!E161),FALSE))</f>
        <v/>
      </c>
      <c r="F165" s="30" t="str">
        <f>IF(ISNA(VLOOKUP($A165,'Species Library'!$A$6:$Z$150,COLUMN('Species Library'!F161),FALSE)), "",VLOOKUP($A165,'Species Library'!$A$6:$Z$150,COLUMN('Species Library'!F161),FALSE))</f>
        <v/>
      </c>
      <c r="G165" s="30" t="str">
        <f t="shared" si="8"/>
        <v/>
      </c>
      <c r="H165" s="30" t="str">
        <f>IF(ISNA(VLOOKUP($A165,'Species Library'!$A$6:$Z$150,COLUMN('Species Library'!G161),FALSE)), "",VLOOKUP($A165,'Species Library'!$A$6:$Z$150,COLUMN('Species Library'!G161),FALSE))</f>
        <v/>
      </c>
      <c r="I165" s="30" t="str">
        <f>IF(ISNA(VLOOKUP($A165,'Species Library'!$A$6:$Z$150,COLUMN('Species Library'!H161),FALSE)), "",VLOOKUP($A165,'Species Library'!$A$6:$Z$150,COLUMN('Species Library'!H161),FALSE))</f>
        <v/>
      </c>
      <c r="J165" s="30" t="str">
        <f>IF(ISNA(VLOOKUP($A165,'Species Library'!$A$6:$Z$150,COLUMN('Species Library'!I161),FALSE)), "",VLOOKUP($A165,'Species Library'!$A$6:$Z$150,COLUMN('Species Library'!I161),FALSE))</f>
        <v/>
      </c>
      <c r="K165" s="30" t="str">
        <f>IF(ISNA(VLOOKUP($A165,'Species Library'!$A$6:$Z$150,COLUMN('Species Library'!J161),FALSE)), "",VLOOKUP($A165,'Species Library'!$A$6:$Z$150,COLUMN('Species Library'!J161),FALSE))</f>
        <v/>
      </c>
      <c r="L165" s="30" t="str">
        <f>IF(ISNA(VLOOKUP($A165,'Species Library'!$A$6:$Z$150,COLUMN('Species Library'!K161),FALSE)), "",VLOOKUP($A165,'Species Library'!$A$6:$Z$150,COLUMN('Species Library'!K161),FALSE))</f>
        <v/>
      </c>
      <c r="M165" s="30" t="str">
        <f t="shared" si="9"/>
        <v/>
      </c>
      <c r="N165" s="30" t="str">
        <f>IF(ISNA(VLOOKUP($A165,'Species Library'!$A$6:$Z$150,COLUMN('Species Library'!L161),FALSE)), "",VLOOKUP($A165,'Species Library'!$A$6:$Z$150,COLUMN('Species Library'!L161),FALSE))</f>
        <v/>
      </c>
      <c r="O165" s="30" t="str">
        <f>IF(ISNA(VLOOKUP($A165,'Species Library'!$A$6:$Z$150,COLUMN('Species Library'!M161),FALSE)), "",VLOOKUP($A165,'Species Library'!$A$6:$Z$150,COLUMN('Species Library'!M161),FALSE))</f>
        <v/>
      </c>
      <c r="P165" s="30" t="str">
        <f>IF(ISNA(VLOOKUP($A165,'Species Library'!$A$6:$Z$150,COLUMN('Species Library'!N161),FALSE)), "",VLOOKUP($A165,'Species Library'!$A$6:$Z$150,COLUMN('Species Library'!N161),FALSE))</f>
        <v/>
      </c>
      <c r="Q165" s="30" t="str">
        <f t="shared" si="10"/>
        <v/>
      </c>
      <c r="R165" s="30" t="str">
        <f>IF(ISNA(VLOOKUP($A165,'Species Library'!$A$6:$Z$150,COLUMN('Species Library'!O161),FALSE)), "",VLOOKUP($A165,'Species Library'!$A$6:$Z$150,COLUMN('Species Library'!O161),FALSE))</f>
        <v/>
      </c>
      <c r="S165" s="30" t="str">
        <f>IF(ISNA(VLOOKUP($A165,'Species Library'!$A$6:$Z$150,COLUMN('Species Library'!P161),FALSE)), "",VLOOKUP($A165,'Species Library'!$A$6:$Z$150,COLUMN('Species Library'!P161),FALSE))</f>
        <v/>
      </c>
      <c r="T165" s="30" t="str">
        <f>IF(ISNA(VLOOKUP($A165,'Species Library'!$A$6:$Z$150,COLUMN('Species Library'!Q161),FALSE)), "",VLOOKUP($A165,'Species Library'!$A$6:$Z$150,COLUMN('Species Library'!Q161),FALSE))</f>
        <v/>
      </c>
      <c r="U165" s="30" t="str">
        <f>IF(ISNA(VLOOKUP($A165,'Species Library'!$A$6:$Z$150,COLUMN('Species Library'!R161),FALSE)), "",VLOOKUP($A165,'Species Library'!$A$6:$Z$150,COLUMN('Species Library'!R161),FALSE))</f>
        <v/>
      </c>
      <c r="V165" s="30" t="str">
        <f>IF(ISNA(VLOOKUP($A165,'Species Library'!$A$6:$Z$150,COLUMN('Species Library'!S161),FALSE)), "",VLOOKUP($A165,'Species Library'!$A$6:$Z$150,COLUMN('Species Library'!S161),FALSE))</f>
        <v/>
      </c>
      <c r="W165" s="30" t="str">
        <f>IF(ISNA(VLOOKUP($A165,'Species Library'!$A$6:$Z$150,COLUMN('Species Library'!T161),FALSE)), "",VLOOKUP($A165,'Species Library'!$A$6:$Z$150,COLUMN('Species Library'!T161),FALSE))</f>
        <v/>
      </c>
      <c r="X165" s="30" t="str">
        <f t="shared" si="11"/>
        <v/>
      </c>
      <c r="Y165" s="30" t="str">
        <f>IF(ISNA(VLOOKUP($A165,'Species Library'!$A$6:$Z$150,COLUMN('Species Library'!U161),FALSE)), "",VLOOKUP($A165,'Species Library'!$A$6:$Z$150,COLUMN('Species Library'!U161),FALSE))</f>
        <v/>
      </c>
      <c r="Z165" s="30" t="str">
        <f>IF(ISNA(VLOOKUP($A165,'Species Library'!$A$6:$Z$150,COLUMN('Species Library'!V161),FALSE)), "",VLOOKUP($A165,'Species Library'!$A$6:$Z$150,COLUMN('Species Library'!V161),FALSE))</f>
        <v/>
      </c>
      <c r="AA165" s="30" t="str">
        <f>IF(ISNA(VLOOKUP($A165,'Species Library'!$A$6:$Z$150,COLUMN('Species Library'!W161),FALSE)), "",VLOOKUP($A165,'Species Library'!$A$6:$Z$150,COLUMN('Species Library'!W161),FALSE))</f>
        <v/>
      </c>
      <c r="AB165" s="30" t="str">
        <f>IF(ISNA(VLOOKUP($A165,'Species Library'!$A$6:$Z$150,COLUMN('Species Library'!X161),FALSE)), "",VLOOKUP($A165,'Species Library'!$A$6:$Z$150,COLUMN('Species Library'!X161),FALSE))</f>
        <v/>
      </c>
      <c r="AC165" s="30" t="str">
        <f>IF(ISNA(VLOOKUP($A165,'Species Library'!$A$6:$Z$150,COLUMN('Species Library'!Y161),FALSE)), "",VLOOKUP($A165,'Species Library'!$A$6:$Z$150,COLUMN('Species Library'!Y161),FALSE))</f>
        <v/>
      </c>
      <c r="AD165" s="30" t="str">
        <f>IF(ISNA(VLOOKUP($A165,'Species Library'!$A$6:$Z$150,COLUMN('Species Library'!Z161),FALSE)), "",VLOOKUP($A165,'Species Library'!$A$6:$Z$150,COLUMN('Species Library'!Z161),FALSE))</f>
        <v/>
      </c>
    </row>
  </sheetData>
  <mergeCells count="6">
    <mergeCell ref="Y9:AD9"/>
    <mergeCell ref="A112:E112"/>
    <mergeCell ref="B9:F9"/>
    <mergeCell ref="H9:L9"/>
    <mergeCell ref="N9:P9"/>
    <mergeCell ref="R9:W9"/>
  </mergeCell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OFFSET('Species Library'!$A$6,0,0,COUNTA('Species Library'!$A$6:$A$150,1))</xm:f>
          </x14:formula1>
          <xm:sqref>A11:A111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C38"/>
  <sheetViews>
    <sheetView tabSelected="1" zoomScale="85" zoomScaleNormal="85" workbookViewId="0">
      <selection activeCell="B6" sqref="B6"/>
    </sheetView>
  </sheetViews>
  <sheetFormatPr defaultRowHeight="14.6" x14ac:dyDescent="0.4"/>
  <cols>
    <col min="1" max="1" width="19" style="30" customWidth="1"/>
    <col min="2" max="2" width="17.3046875" customWidth="1"/>
    <col min="3" max="3" width="22.3828125" customWidth="1"/>
    <col min="4" max="4" width="16" customWidth="1"/>
    <col min="5" max="9" width="12.69140625" customWidth="1"/>
    <col min="10" max="10" width="16.15234375" customWidth="1"/>
    <col min="11" max="11" width="10.84375" customWidth="1"/>
    <col min="27" max="27" width="3.3046875" style="40" customWidth="1"/>
  </cols>
  <sheetData>
    <row r="1" spans="1:29" ht="20.6" x14ac:dyDescent="0.55000000000000004">
      <c r="A1" s="18" t="s">
        <v>46</v>
      </c>
    </row>
    <row r="2" spans="1:29" ht="20.6" x14ac:dyDescent="0.55000000000000004">
      <c r="B2" s="18"/>
    </row>
    <row r="4" spans="1:29" x14ac:dyDescent="0.4">
      <c r="A4" s="19"/>
      <c r="B4" s="31"/>
    </row>
    <row r="5" spans="1:29" ht="15.9" x14ac:dyDescent="0.45">
      <c r="A5" s="41"/>
      <c r="B5" s="42"/>
      <c r="C5" s="43"/>
      <c r="D5" s="43"/>
      <c r="E5" s="43"/>
      <c r="F5" s="43"/>
      <c r="G5" s="43"/>
      <c r="H5" s="43"/>
      <c r="I5" s="43"/>
      <c r="J5" s="43"/>
      <c r="K5" s="43"/>
      <c r="L5" s="43"/>
      <c r="M5" s="43"/>
      <c r="N5" s="43"/>
      <c r="O5" s="43"/>
      <c r="P5" s="43"/>
      <c r="Q5" s="43"/>
      <c r="R5" s="43"/>
    </row>
    <row r="6" spans="1:29" ht="15.9" x14ac:dyDescent="0.45">
      <c r="A6" s="41" t="s">
        <v>31</v>
      </c>
      <c r="B6" s="31" t="s">
        <v>98</v>
      </c>
      <c r="C6" s="43"/>
      <c r="D6" s="43"/>
      <c r="E6" s="43"/>
      <c r="F6" s="43"/>
      <c r="G6" s="43"/>
      <c r="H6" s="43"/>
      <c r="I6" s="43"/>
      <c r="J6" s="43"/>
      <c r="K6" s="43"/>
      <c r="L6" s="43"/>
      <c r="M6" s="43"/>
      <c r="N6" s="43"/>
      <c r="O6" s="43"/>
      <c r="P6" s="43"/>
      <c r="Q6" s="43"/>
      <c r="R6" s="43"/>
    </row>
    <row r="7" spans="1:29" ht="15.9" x14ac:dyDescent="0.45">
      <c r="A7" s="44"/>
      <c r="B7" s="43"/>
      <c r="C7" s="43"/>
      <c r="D7" s="43"/>
      <c r="E7" s="43"/>
      <c r="F7" s="43"/>
      <c r="G7" s="43"/>
      <c r="H7" s="43"/>
      <c r="I7" s="43"/>
      <c r="J7" s="43"/>
      <c r="K7" s="43"/>
      <c r="L7" s="43"/>
      <c r="M7" s="43"/>
      <c r="N7" s="43"/>
      <c r="O7" s="43"/>
      <c r="P7" s="43"/>
      <c r="Q7" s="43"/>
      <c r="R7" s="43"/>
    </row>
    <row r="8" spans="1:29" ht="15.9" x14ac:dyDescent="0.45">
      <c r="A8" s="45"/>
      <c r="B8" s="43"/>
      <c r="C8" s="43"/>
      <c r="D8" s="43"/>
      <c r="E8" s="43"/>
      <c r="F8" s="43"/>
      <c r="G8" s="43"/>
      <c r="H8" s="43"/>
      <c r="I8" s="43"/>
      <c r="J8" s="43"/>
      <c r="K8" s="43"/>
      <c r="L8" s="43"/>
      <c r="M8" s="43"/>
      <c r="N8" s="46"/>
      <c r="O8" s="46"/>
      <c r="P8" s="46"/>
      <c r="Q8" s="46"/>
      <c r="R8" s="46"/>
      <c r="S8" s="38"/>
      <c r="T8" s="38"/>
      <c r="U8" s="38"/>
      <c r="V8" s="38"/>
      <c r="W8" s="38"/>
      <c r="X8" s="38"/>
      <c r="Y8" s="38"/>
      <c r="Z8" s="38"/>
      <c r="AA8" s="65"/>
      <c r="AB8" s="38"/>
      <c r="AC8" s="38"/>
    </row>
    <row r="9" spans="1:29" ht="18.45" x14ac:dyDescent="0.5">
      <c r="A9" s="64" t="s">
        <v>66</v>
      </c>
      <c r="B9" s="43"/>
      <c r="C9" s="43"/>
      <c r="D9" s="43"/>
      <c r="E9" s="115" t="s">
        <v>53</v>
      </c>
      <c r="F9" s="115"/>
      <c r="G9" s="115"/>
      <c r="H9" s="115"/>
      <c r="I9" s="115"/>
      <c r="J9" s="115"/>
      <c r="K9" s="43"/>
      <c r="L9" s="43"/>
      <c r="M9" s="43"/>
      <c r="N9" s="46"/>
      <c r="O9" s="46"/>
      <c r="P9" s="46"/>
      <c r="Q9" s="46"/>
      <c r="R9" s="46"/>
      <c r="S9" s="38"/>
      <c r="T9" s="38"/>
      <c r="U9" s="38"/>
      <c r="V9" s="38"/>
      <c r="W9" s="38"/>
      <c r="X9" s="38"/>
      <c r="Y9" s="38"/>
      <c r="Z9" s="38"/>
      <c r="AA9" s="65"/>
      <c r="AB9" s="38"/>
      <c r="AC9" s="38"/>
    </row>
    <row r="10" spans="1:29" ht="50.25" customHeight="1" x14ac:dyDescent="0.45">
      <c r="A10" s="47" t="s">
        <v>54</v>
      </c>
      <c r="B10" s="48" t="s">
        <v>50</v>
      </c>
      <c r="C10" s="49" t="str">
        <f>IF(A13=1,"Specified Constant Operating Temperature (T_op)",IF(A13=2,"Feed Temperature (T_feed)",IF(A13=3,"Flash Temperature (T_flash)","Invalid Entry")))</f>
        <v>Feed Temperature (T_feed)</v>
      </c>
      <c r="D10" s="83" t="s">
        <v>49</v>
      </c>
      <c r="E10" s="116" t="s">
        <v>67</v>
      </c>
      <c r="F10" s="117"/>
      <c r="G10" s="117"/>
      <c r="H10" s="117"/>
      <c r="I10" s="117"/>
      <c r="J10" s="118"/>
      <c r="K10" s="86"/>
      <c r="L10" s="86"/>
      <c r="M10" s="86"/>
      <c r="N10" s="86"/>
      <c r="O10" s="86"/>
      <c r="P10" s="87"/>
      <c r="Q10" s="88"/>
      <c r="R10" s="88"/>
      <c r="S10" s="89"/>
      <c r="T10" s="89"/>
      <c r="U10" s="89"/>
      <c r="V10" s="89"/>
      <c r="W10" s="89"/>
      <c r="X10" s="89"/>
      <c r="Y10" s="87"/>
      <c r="Z10" s="87"/>
      <c r="AA10" s="65"/>
      <c r="AB10" s="38"/>
      <c r="AC10" s="38"/>
    </row>
    <row r="11" spans="1:29" ht="15.9" x14ac:dyDescent="0.45">
      <c r="A11" s="51"/>
      <c r="B11" s="52" t="s">
        <v>23</v>
      </c>
      <c r="C11" s="53" t="s">
        <v>21</v>
      </c>
      <c r="D11" s="52" t="s">
        <v>48</v>
      </c>
      <c r="E11" s="54" t="str">
        <f>IF('Create Species CSVs'!A11="", "", 'Create Species CSVs'!A11)</f>
        <v>nitrogen</v>
      </c>
      <c r="F11" s="55" t="str">
        <f>IF('Create Species CSVs'!A12="", "", 'Create Species CSVs'!A12)</f>
        <v>water</v>
      </c>
      <c r="G11" s="55" t="str">
        <f>IF('Create Species CSVs'!A13="", "", 'Create Species CSVs'!A13)</f>
        <v>ethane</v>
      </c>
      <c r="H11" s="70" t="str">
        <f>IF('Create Species CSVs'!A14="", "", 'Create Species CSVs'!A14)</f>
        <v>pentane</v>
      </c>
      <c r="I11" s="70" t="str">
        <f>IF('Create Species CSVs'!A15="", "", 'Create Species CSVs'!A15)</f>
        <v>hexane</v>
      </c>
      <c r="J11" s="85" t="str">
        <f>IF('Create Species CSVs'!A16="", "", 'Create Species CSVs'!A16)</f>
        <v>cyclohexane</v>
      </c>
      <c r="K11" s="90" t="str">
        <f>IF('Create Species CSVs'!A17="", "", 'Create Species CSVs'!A17)</f>
        <v/>
      </c>
      <c r="L11" s="90" t="str">
        <f>IF('Create Species CSVs'!A18="", "", 'Create Species CSVs'!A18)</f>
        <v/>
      </c>
      <c r="M11" s="90" t="str">
        <f>IF('Create Species CSVs'!A19="", "", 'Create Species CSVs'!A19)</f>
        <v/>
      </c>
      <c r="N11" s="90" t="str">
        <f>IF('Create Species CSVs'!A20="", "", 'Create Species CSVs'!A20)</f>
        <v/>
      </c>
      <c r="O11" s="90" t="str">
        <f>IF('Create Species CSVs'!A21="", "", 'Create Species CSVs'!A21)</f>
        <v/>
      </c>
      <c r="P11" s="90" t="str">
        <f>IF('Create Species CSVs'!A22="", "", 'Create Species CSVs'!A22)</f>
        <v/>
      </c>
      <c r="Q11" s="90" t="str">
        <f>IF('Create Species CSVs'!A23="", "", 'Create Species CSVs'!A23)</f>
        <v/>
      </c>
      <c r="R11" s="90" t="str">
        <f>IF('Create Species CSVs'!A24="", "", 'Create Species CSVs'!A24)</f>
        <v/>
      </c>
      <c r="S11" s="90" t="str">
        <f>IF('Create Species CSVs'!A25="", "", 'Create Species CSVs'!A25)</f>
        <v/>
      </c>
      <c r="T11" s="90" t="str">
        <f>IF('Create Species CSVs'!A26="", "", 'Create Species CSVs'!A26)</f>
        <v/>
      </c>
      <c r="U11" s="90" t="str">
        <f>IF('Create Species CSVs'!A27="", "", 'Create Species CSVs'!A27)</f>
        <v/>
      </c>
      <c r="V11" s="90" t="str">
        <f>IF('Create Species CSVs'!A28="", "", 'Create Species CSVs'!A28)</f>
        <v/>
      </c>
      <c r="W11" s="90" t="str">
        <f>IF('Create Species CSVs'!A29="", "", 'Create Species CSVs'!A29)</f>
        <v/>
      </c>
      <c r="X11" s="90" t="str">
        <f>IF('Create Species CSVs'!A30="", "", 'Create Species CSVs'!A30)</f>
        <v/>
      </c>
      <c r="Y11" s="90" t="str">
        <f>IF('Create Species CSVs'!A31="", "", 'Create Species CSVs'!A31)</f>
        <v/>
      </c>
      <c r="Z11" s="90" t="str">
        <f>IF('Create Species CSVs'!A32="", "", 'Create Species CSVs'!A32)</f>
        <v/>
      </c>
      <c r="AA11" s="68"/>
      <c r="AB11" s="67"/>
      <c r="AC11" s="38"/>
    </row>
    <row r="12" spans="1:29" ht="23.25" hidden="1" customHeight="1" x14ac:dyDescent="0.45">
      <c r="A12" s="56" t="s">
        <v>55</v>
      </c>
      <c r="B12" s="56" t="s">
        <v>47</v>
      </c>
      <c r="C12" s="56" t="str">
        <f>IF(A13=1,"Top",IF(A13=2,"Tfeed",IF(A13=3,"Tflash","Invalid Entry")))</f>
        <v>Tfeed</v>
      </c>
      <c r="D12" s="56" t="s">
        <v>51</v>
      </c>
      <c r="E12" s="56" t="str">
        <f>IF('Create Species CSVs'!A11="", "", 'Create Species CSVs'!A11)</f>
        <v>nitrogen</v>
      </c>
      <c r="F12" s="56" t="str">
        <f>IF('Create Species CSVs'!A12="", "", 'Create Species CSVs'!A12)</f>
        <v>water</v>
      </c>
      <c r="G12" s="56" t="str">
        <f>IF('Create Species CSVs'!A13="", "", 'Create Species CSVs'!A13)</f>
        <v>ethane</v>
      </c>
      <c r="H12" s="56" t="str">
        <f>IF('Create Species CSVs'!A14="", "", 'Create Species CSVs'!A14)</f>
        <v>pentane</v>
      </c>
      <c r="I12" s="69" t="str">
        <f>IF('Create Species CSVs'!A15="", "", 'Create Species CSVs'!A15)</f>
        <v>hexane</v>
      </c>
      <c r="J12" s="84" t="str">
        <f>IF('Create Species CSVs'!A16="", "", 'Create Species CSVs'!A16)</f>
        <v>cyclohexane</v>
      </c>
      <c r="K12" s="91" t="str">
        <f>IF('Create Species CSVs'!A17="", "", 'Create Species CSVs'!A17)</f>
        <v/>
      </c>
      <c r="L12" s="90" t="str">
        <f>IF('Create Species CSVs'!A18="", "", 'Create Species CSVs'!A18)</f>
        <v/>
      </c>
      <c r="M12" s="90" t="str">
        <f>IF('Create Species CSVs'!A19="", "", 'Create Species CSVs'!A19)</f>
        <v/>
      </c>
      <c r="N12" s="90" t="str">
        <f>IF('Create Species CSVs'!A20="", "", 'Create Species CSVs'!A20)</f>
        <v/>
      </c>
      <c r="O12" s="90" t="str">
        <f>IF('Create Species CSVs'!A21="", "", 'Create Species CSVs'!A21)</f>
        <v/>
      </c>
      <c r="P12" s="90" t="str">
        <f>IF('Create Species CSVs'!A22="", "", 'Create Species CSVs'!A22)</f>
        <v/>
      </c>
      <c r="Q12" s="90" t="str">
        <f>IF('Create Species CSVs'!A23="", "", 'Create Species CSVs'!A23)</f>
        <v/>
      </c>
      <c r="R12" s="90" t="str">
        <f>IF('Create Species CSVs'!A24="", "", 'Create Species CSVs'!A24)</f>
        <v/>
      </c>
      <c r="S12" s="90" t="str">
        <f>IF('Create Species CSVs'!A25="", "", 'Create Species CSVs'!A25)</f>
        <v/>
      </c>
      <c r="T12" s="90" t="str">
        <f>IF('Create Species CSVs'!A26="", "", 'Create Species CSVs'!A26)</f>
        <v/>
      </c>
      <c r="U12" s="90" t="str">
        <f>IF('Create Species CSVs'!A27="", "", 'Create Species CSVs'!A27)</f>
        <v/>
      </c>
      <c r="V12" s="90" t="str">
        <f>IF('Create Species CSVs'!A28="", "", 'Create Species CSVs'!A28)</f>
        <v/>
      </c>
      <c r="W12" s="90" t="str">
        <f>IF('Create Species CSVs'!A29="", "", 'Create Species CSVs'!A29)</f>
        <v/>
      </c>
      <c r="X12" s="90" t="str">
        <f>IF('Create Species CSVs'!A30="", "", 'Create Species CSVs'!A30)</f>
        <v/>
      </c>
      <c r="Y12" s="90" t="str">
        <f>IF('Create Species CSVs'!A31="", "", 'Create Species CSVs'!A31)</f>
        <v/>
      </c>
      <c r="Z12" s="90" t="str">
        <f>IF('Create Species CSVs'!A32="", "", 'Create Species CSVs'!A32)</f>
        <v/>
      </c>
      <c r="AA12" s="65"/>
      <c r="AB12" s="38"/>
      <c r="AC12" s="38"/>
    </row>
    <row r="13" spans="1:29" ht="15.9" x14ac:dyDescent="0.45">
      <c r="A13" s="61">
        <v>2</v>
      </c>
      <c r="B13" s="62">
        <v>101325</v>
      </c>
      <c r="C13" s="63">
        <v>305</v>
      </c>
      <c r="D13" s="63">
        <v>0.1</v>
      </c>
      <c r="E13" s="63">
        <v>0.05</v>
      </c>
      <c r="F13" s="63">
        <v>0.1</v>
      </c>
      <c r="G13" s="63">
        <v>0.05</v>
      </c>
      <c r="H13" s="63">
        <v>0.5</v>
      </c>
      <c r="I13" s="63">
        <v>0.2</v>
      </c>
      <c r="J13" s="63">
        <v>0.1</v>
      </c>
      <c r="K13" s="86"/>
      <c r="L13" s="86"/>
      <c r="M13" s="86"/>
      <c r="N13" s="86"/>
      <c r="O13" s="86"/>
      <c r="P13" s="92"/>
      <c r="Q13" s="88"/>
      <c r="R13" s="88"/>
      <c r="S13" s="93"/>
      <c r="T13" s="89"/>
      <c r="U13" s="89"/>
      <c r="V13" s="89"/>
      <c r="W13" s="89"/>
      <c r="X13" s="89"/>
      <c r="Y13" s="87"/>
      <c r="Z13" s="87"/>
      <c r="AA13" s="65"/>
      <c r="AB13" s="38"/>
      <c r="AC13" s="38"/>
    </row>
    <row r="14" spans="1:29" ht="15.9" x14ac:dyDescent="0.45">
      <c r="A14" s="44"/>
      <c r="B14" s="43"/>
      <c r="C14" s="58"/>
      <c r="D14" s="43"/>
      <c r="E14" s="119" t="str">
        <f>IF(SUM(E13:Z13)=1,"Okay.", "Mass fractions don’t sum to 1")</f>
        <v>Okay.</v>
      </c>
      <c r="F14" s="119"/>
      <c r="G14" s="119"/>
      <c r="H14" s="119"/>
      <c r="I14" s="119"/>
      <c r="J14" s="120"/>
      <c r="K14" s="43"/>
      <c r="L14" s="43"/>
      <c r="M14" s="43"/>
      <c r="N14" s="46"/>
      <c r="O14" s="46"/>
      <c r="P14" s="46"/>
      <c r="Q14" s="50"/>
      <c r="R14" s="50"/>
      <c r="S14" s="39"/>
      <c r="T14" s="39"/>
      <c r="U14" s="39"/>
      <c r="V14" s="39"/>
      <c r="W14" s="39"/>
      <c r="X14" s="39"/>
      <c r="Y14" s="38"/>
      <c r="Z14" s="38"/>
      <c r="AA14" s="65"/>
      <c r="AB14" s="38"/>
      <c r="AC14" s="38"/>
    </row>
    <row r="15" spans="1:29" ht="15.9" x14ac:dyDescent="0.45">
      <c r="A15" s="59" t="s">
        <v>52</v>
      </c>
      <c r="B15" s="60" t="str">
        <f>IF(A13=1,"Heat required to maintain operating temperature (Q), outlet stream flow rates and compositions (L, V, x1…xi, y1…yi)",IF(A13=2,"Adiabatic flash temperature (T_flash), outlet stream flow rates and compositions (L, V, x1…xi, y1…yi)",IF(A13=3,"Feed temperature (T_feed), outlet stream flow rates and compositions (L, V, x1…xi, y1…yi)","Invalid Entry")))</f>
        <v>Adiabatic flash temperature (T_flash), outlet stream flow rates and compositions (L, V, x1…xi, y1…yi)</v>
      </c>
      <c r="D15" s="43"/>
      <c r="E15" s="43"/>
      <c r="F15" s="43"/>
      <c r="G15" s="43"/>
      <c r="H15" s="43"/>
      <c r="I15" s="43"/>
      <c r="J15" s="43"/>
      <c r="K15" s="43"/>
      <c r="L15" s="43"/>
      <c r="M15" s="43"/>
      <c r="N15" s="46"/>
      <c r="O15" s="46"/>
      <c r="P15" s="46"/>
      <c r="Q15" s="50"/>
      <c r="R15" s="50"/>
      <c r="T15" s="39"/>
      <c r="U15" s="39"/>
      <c r="V15" s="39"/>
      <c r="W15" s="39"/>
      <c r="X15" s="39"/>
      <c r="Y15" s="38"/>
      <c r="Z15" s="38"/>
      <c r="AA15" s="65"/>
      <c r="AB15" s="38"/>
      <c r="AC15" s="38"/>
    </row>
    <row r="16" spans="1:29" ht="15.9" x14ac:dyDescent="0.45">
      <c r="A16" s="44"/>
      <c r="B16" s="43"/>
      <c r="C16" s="58"/>
      <c r="D16" s="43"/>
      <c r="E16" s="43"/>
      <c r="F16" s="43"/>
      <c r="G16" s="43"/>
      <c r="H16" s="43"/>
      <c r="I16" s="43"/>
      <c r="J16" s="43"/>
      <c r="K16" s="43"/>
      <c r="L16" s="43"/>
      <c r="M16" s="43"/>
      <c r="N16" s="46"/>
      <c r="O16" s="46"/>
      <c r="P16" s="46"/>
      <c r="Q16" s="50"/>
      <c r="R16" s="50"/>
      <c r="T16" s="39"/>
      <c r="U16" s="39"/>
      <c r="V16" s="39"/>
      <c r="W16" s="39"/>
      <c r="X16" s="39"/>
      <c r="Y16" s="38"/>
      <c r="Z16" s="38"/>
      <c r="AA16" s="65"/>
      <c r="AB16" s="38"/>
      <c r="AC16" s="38"/>
    </row>
    <row r="17" spans="1:29" ht="15.9" x14ac:dyDescent="0.45">
      <c r="A17" s="44"/>
      <c r="B17" s="43"/>
      <c r="C17" s="43"/>
      <c r="D17" s="43"/>
      <c r="E17" s="43"/>
      <c r="F17" s="43"/>
      <c r="G17" s="43"/>
      <c r="H17" s="43"/>
      <c r="I17" s="43"/>
      <c r="J17" s="43"/>
      <c r="K17" s="43"/>
      <c r="L17" s="43"/>
      <c r="M17" s="43"/>
      <c r="N17" s="46"/>
      <c r="O17" s="46"/>
      <c r="P17" s="46"/>
      <c r="Q17" s="50"/>
      <c r="R17" s="50"/>
      <c r="T17" s="39"/>
      <c r="U17" s="39"/>
      <c r="V17" s="39"/>
      <c r="W17" s="39"/>
      <c r="X17" s="39"/>
      <c r="Y17" s="38"/>
      <c r="Z17" s="38"/>
      <c r="AA17" s="65"/>
      <c r="AB17" s="38"/>
      <c r="AC17" s="38"/>
    </row>
    <row r="18" spans="1:29" ht="15.9" x14ac:dyDescent="0.45">
      <c r="A18" s="44"/>
      <c r="B18" s="43"/>
      <c r="C18" s="43"/>
      <c r="D18" s="43"/>
      <c r="E18" s="43"/>
      <c r="F18" s="43"/>
      <c r="G18" s="43"/>
      <c r="H18" s="43"/>
      <c r="I18" s="43"/>
      <c r="J18" s="43"/>
      <c r="K18" s="43"/>
      <c r="L18" s="43"/>
      <c r="M18" s="43"/>
      <c r="N18" s="46"/>
      <c r="O18" s="46"/>
      <c r="P18" s="46"/>
      <c r="Q18" s="50"/>
      <c r="R18" s="50"/>
      <c r="T18" s="39"/>
      <c r="U18" s="39"/>
      <c r="V18" s="39"/>
      <c r="W18" s="39"/>
      <c r="X18" s="39"/>
      <c r="Y18" s="38"/>
      <c r="Z18" s="38"/>
      <c r="AA18" s="65"/>
      <c r="AB18" s="38"/>
      <c r="AC18" s="38"/>
    </row>
    <row r="19" spans="1:29" ht="18.45" x14ac:dyDescent="0.5">
      <c r="A19" s="64" t="s">
        <v>56</v>
      </c>
      <c r="B19" s="43"/>
      <c r="C19" s="43"/>
      <c r="D19" s="43"/>
      <c r="E19" s="43"/>
      <c r="F19" s="43"/>
      <c r="G19" s="43"/>
      <c r="H19" s="43"/>
      <c r="I19" s="43"/>
      <c r="J19" s="43"/>
      <c r="K19" s="43"/>
      <c r="L19" s="43"/>
      <c r="M19" s="43"/>
      <c r="N19" s="43"/>
      <c r="O19" s="43"/>
      <c r="P19" s="43"/>
      <c r="Q19" s="43"/>
      <c r="R19" s="43"/>
      <c r="T19" s="66"/>
    </row>
    <row r="20" spans="1:29" ht="15.9" x14ac:dyDescent="0.45">
      <c r="A20" s="57" t="s">
        <v>57</v>
      </c>
      <c r="B20" s="121" t="s">
        <v>58</v>
      </c>
      <c r="C20" s="121"/>
      <c r="D20" s="121"/>
      <c r="E20" s="121"/>
      <c r="F20" s="121"/>
      <c r="G20" s="121" t="s">
        <v>59</v>
      </c>
      <c r="H20" s="121"/>
      <c r="I20" s="121"/>
      <c r="J20" s="121"/>
      <c r="K20" s="121"/>
      <c r="L20" s="121"/>
      <c r="M20" s="121"/>
      <c r="N20" s="121"/>
      <c r="O20" s="121"/>
      <c r="P20" s="43"/>
      <c r="Q20" s="43"/>
      <c r="R20" s="43"/>
      <c r="T20" s="66"/>
    </row>
    <row r="21" spans="1:29" ht="15.9" x14ac:dyDescent="0.45">
      <c r="A21" s="57">
        <v>1</v>
      </c>
      <c r="B21" s="122" t="s">
        <v>60</v>
      </c>
      <c r="C21" s="122"/>
      <c r="D21" s="122"/>
      <c r="E21" s="122"/>
      <c r="F21" s="122"/>
      <c r="G21" s="122" t="s">
        <v>63</v>
      </c>
      <c r="H21" s="122"/>
      <c r="I21" s="122"/>
      <c r="J21" s="122"/>
      <c r="K21" s="122"/>
      <c r="L21" s="122"/>
      <c r="M21" s="122"/>
      <c r="N21" s="122"/>
      <c r="O21" s="122"/>
      <c r="P21" s="43"/>
      <c r="Q21" s="43"/>
      <c r="R21" s="43"/>
      <c r="T21" s="66"/>
    </row>
    <row r="22" spans="1:29" ht="15.9" x14ac:dyDescent="0.45">
      <c r="A22" s="57">
        <v>2</v>
      </c>
      <c r="B22" s="122" t="s">
        <v>61</v>
      </c>
      <c r="C22" s="122"/>
      <c r="D22" s="122"/>
      <c r="E22" s="122"/>
      <c r="F22" s="122"/>
      <c r="G22" s="122" t="s">
        <v>64</v>
      </c>
      <c r="H22" s="122"/>
      <c r="I22" s="122"/>
      <c r="J22" s="122"/>
      <c r="K22" s="122"/>
      <c r="L22" s="122"/>
      <c r="M22" s="122"/>
      <c r="N22" s="122"/>
      <c r="O22" s="122"/>
      <c r="P22" s="43"/>
      <c r="Q22" s="43"/>
      <c r="R22" s="43"/>
      <c r="T22" s="66"/>
    </row>
    <row r="23" spans="1:29" ht="15.9" x14ac:dyDescent="0.45">
      <c r="A23" s="57">
        <v>3</v>
      </c>
      <c r="B23" s="122" t="s">
        <v>62</v>
      </c>
      <c r="C23" s="122"/>
      <c r="D23" s="122"/>
      <c r="E23" s="122"/>
      <c r="F23" s="122"/>
      <c r="G23" s="122" t="s">
        <v>65</v>
      </c>
      <c r="H23" s="122"/>
      <c r="I23" s="122"/>
      <c r="J23" s="122"/>
      <c r="K23" s="122"/>
      <c r="L23" s="122"/>
      <c r="M23" s="122"/>
      <c r="N23" s="122"/>
      <c r="O23" s="122"/>
      <c r="P23" s="43"/>
      <c r="Q23" s="43"/>
      <c r="R23" s="43"/>
      <c r="T23" s="66"/>
    </row>
    <row r="24" spans="1:29" ht="15.9" x14ac:dyDescent="0.45">
      <c r="A24" s="44"/>
      <c r="B24" s="43"/>
      <c r="C24" s="43"/>
      <c r="D24" s="43"/>
      <c r="E24" s="43"/>
      <c r="F24" s="43"/>
      <c r="G24" s="43"/>
      <c r="H24" s="43"/>
      <c r="I24" s="43"/>
      <c r="J24" s="43"/>
      <c r="K24" s="43"/>
      <c r="L24" s="43"/>
      <c r="M24" s="43"/>
      <c r="N24" s="43"/>
      <c r="O24" s="43"/>
      <c r="P24" s="43"/>
      <c r="Q24" s="43"/>
      <c r="R24" s="43"/>
      <c r="T24" s="66"/>
    </row>
    <row r="25" spans="1:29" ht="15.9" x14ac:dyDescent="0.45">
      <c r="A25" s="44"/>
      <c r="B25" s="43"/>
      <c r="C25" s="43"/>
      <c r="D25" s="43"/>
      <c r="E25" s="43"/>
      <c r="F25" s="43"/>
      <c r="G25" s="43"/>
      <c r="H25" s="43"/>
      <c r="I25" s="43"/>
      <c r="J25" s="43"/>
      <c r="K25" s="43"/>
      <c r="L25" s="43"/>
      <c r="M25" s="43"/>
      <c r="N25" s="43"/>
      <c r="O25" s="43"/>
      <c r="P25" s="43"/>
      <c r="Q25" s="43"/>
      <c r="R25" s="43"/>
      <c r="T25" s="66"/>
    </row>
    <row r="26" spans="1:29" ht="15.9" x14ac:dyDescent="0.45">
      <c r="A26" s="44"/>
      <c r="B26" s="43"/>
      <c r="C26" s="43"/>
      <c r="D26" s="43"/>
      <c r="E26" s="43"/>
      <c r="F26" s="43"/>
      <c r="G26" s="43"/>
      <c r="H26" s="43"/>
      <c r="I26" s="43"/>
      <c r="J26" s="43"/>
      <c r="K26" s="43"/>
      <c r="L26" s="43"/>
      <c r="M26" s="43"/>
      <c r="N26" s="43"/>
      <c r="O26" s="43"/>
      <c r="P26" s="43"/>
      <c r="Q26" s="43"/>
      <c r="R26" s="43"/>
      <c r="T26" s="66"/>
    </row>
    <row r="27" spans="1:29" ht="15.9" x14ac:dyDescent="0.45">
      <c r="A27" s="44"/>
      <c r="B27" s="43"/>
      <c r="C27" s="43"/>
      <c r="D27" s="43"/>
      <c r="E27" s="43"/>
      <c r="F27" s="43"/>
      <c r="G27" s="43"/>
      <c r="H27" s="43"/>
      <c r="I27" s="43"/>
      <c r="J27" s="43"/>
      <c r="K27" s="43"/>
      <c r="L27" s="43"/>
      <c r="M27" s="43"/>
      <c r="N27" s="43"/>
      <c r="O27" s="43"/>
      <c r="P27" s="43"/>
      <c r="Q27" s="43"/>
      <c r="R27" s="43"/>
      <c r="T27" s="66"/>
    </row>
    <row r="28" spans="1:29" x14ac:dyDescent="0.4">
      <c r="T28" s="66"/>
    </row>
    <row r="29" spans="1:29" x14ac:dyDescent="0.4">
      <c r="T29" s="66"/>
    </row>
    <row r="30" spans="1:29" x14ac:dyDescent="0.4">
      <c r="T30" s="66"/>
    </row>
    <row r="31" spans="1:29" x14ac:dyDescent="0.4">
      <c r="T31" s="66"/>
    </row>
    <row r="32" spans="1:29" x14ac:dyDescent="0.4">
      <c r="T32" s="66"/>
    </row>
    <row r="33" spans="20:20" x14ac:dyDescent="0.4">
      <c r="T33" s="66"/>
    </row>
    <row r="34" spans="20:20" x14ac:dyDescent="0.4">
      <c r="T34" s="66"/>
    </row>
    <row r="35" spans="20:20" x14ac:dyDescent="0.4">
      <c r="T35" s="66"/>
    </row>
    <row r="36" spans="20:20" x14ac:dyDescent="0.4">
      <c r="T36" s="66"/>
    </row>
    <row r="37" spans="20:20" x14ac:dyDescent="0.4">
      <c r="T37" s="37"/>
    </row>
    <row r="38" spans="20:20" x14ac:dyDescent="0.4">
      <c r="T38" s="37"/>
    </row>
  </sheetData>
  <mergeCells count="11">
    <mergeCell ref="G22:O22"/>
    <mergeCell ref="G23:O23"/>
    <mergeCell ref="G20:O20"/>
    <mergeCell ref="B21:F21"/>
    <mergeCell ref="B22:F22"/>
    <mergeCell ref="B23:F23"/>
    <mergeCell ref="E9:J9"/>
    <mergeCell ref="E10:J10"/>
    <mergeCell ref="E14:J14"/>
    <mergeCell ref="B20:F20"/>
    <mergeCell ref="G21:O21"/>
  </mergeCells>
  <conditionalFormatting sqref="E14">
    <cfRule type="cellIs" dxfId="1" priority="6" operator="equal">
      <formula>"Okay."</formula>
    </cfRule>
  </conditionalFormatting>
  <conditionalFormatting sqref="E14:J14">
    <cfRule type="cellIs" dxfId="0" priority="5" operator="notEqual">
      <formula>"Okay."</formula>
    </cfRule>
  </conditionalFormatting>
  <dataValidations count="1">
    <dataValidation type="list" allowBlank="1" showInputMessage="1" showErrorMessage="1" sqref="A13" xr:uid="{00000000-0002-0000-0300-000000000000}">
      <formula1>$A$21:$A$23</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E50"/>
  <sheetViews>
    <sheetView workbookViewId="0">
      <selection activeCell="E20" sqref="E20"/>
    </sheetView>
  </sheetViews>
  <sheetFormatPr defaultRowHeight="14.6" x14ac:dyDescent="0.4"/>
  <cols>
    <col min="1" max="1" width="14.3046875" style="30" customWidth="1"/>
    <col min="2" max="2" width="20" customWidth="1"/>
    <col min="3" max="3" width="21" customWidth="1"/>
    <col min="5" max="5" width="13.84375" bestFit="1" customWidth="1"/>
    <col min="6" max="6" width="22.3046875" bestFit="1" customWidth="1"/>
    <col min="7" max="7" width="22.3046875" customWidth="1"/>
  </cols>
  <sheetData>
    <row r="1" spans="1:31" ht="20.6" x14ac:dyDescent="0.55000000000000004">
      <c r="A1" s="18" t="s">
        <v>86</v>
      </c>
    </row>
    <row r="2" spans="1:31" x14ac:dyDescent="0.4">
      <c r="B2" s="30"/>
    </row>
    <row r="3" spans="1:31" x14ac:dyDescent="0.4">
      <c r="B3" s="30"/>
    </row>
    <row r="4" spans="1:31" ht="20.6" x14ac:dyDescent="0.55000000000000004">
      <c r="B4" s="19"/>
      <c r="C4" s="18"/>
    </row>
    <row r="5" spans="1:31" ht="15.9" x14ac:dyDescent="0.45">
      <c r="B5" s="41"/>
      <c r="C5" s="30"/>
    </row>
    <row r="6" spans="1:31" ht="15.9" x14ac:dyDescent="0.45">
      <c r="A6" s="41" t="s">
        <v>31</v>
      </c>
      <c r="B6" s="31" t="s">
        <v>88</v>
      </c>
    </row>
    <row r="7" spans="1:31" x14ac:dyDescent="0.4">
      <c r="C7" s="19"/>
    </row>
    <row r="8" spans="1:31" ht="15.9" x14ac:dyDescent="0.45">
      <c r="C8" s="41"/>
    </row>
    <row r="9" spans="1:31" ht="15.75" customHeight="1" x14ac:dyDescent="0.45">
      <c r="A9" s="123" t="s">
        <v>87</v>
      </c>
      <c r="B9" s="72" t="s">
        <v>78</v>
      </c>
      <c r="C9" s="74" t="s">
        <v>79</v>
      </c>
      <c r="D9" s="72" t="s">
        <v>80</v>
      </c>
      <c r="E9" s="72" t="s">
        <v>81</v>
      </c>
      <c r="F9" s="72" t="s">
        <v>82</v>
      </c>
      <c r="G9" s="72" t="s">
        <v>83</v>
      </c>
      <c r="H9" s="75" t="s">
        <v>84</v>
      </c>
      <c r="I9" s="76"/>
      <c r="J9" s="76"/>
      <c r="K9" s="76"/>
      <c r="L9" s="76"/>
      <c r="M9" s="76"/>
      <c r="N9" s="76"/>
      <c r="O9" s="76"/>
      <c r="P9" s="77"/>
      <c r="Q9" s="77"/>
      <c r="R9" s="77"/>
      <c r="S9" s="78"/>
      <c r="T9" s="78"/>
      <c r="U9" s="78"/>
      <c r="V9" s="78"/>
      <c r="W9" s="78"/>
      <c r="X9" s="78"/>
      <c r="Y9" s="78"/>
      <c r="Z9" s="78"/>
      <c r="AA9" s="79"/>
    </row>
    <row r="10" spans="1:31" x14ac:dyDescent="0.4">
      <c r="A10" s="124"/>
      <c r="B10" s="73" t="s">
        <v>21</v>
      </c>
      <c r="C10" s="73" t="s">
        <v>21</v>
      </c>
      <c r="D10" s="73" t="s">
        <v>85</v>
      </c>
      <c r="E10" s="73" t="s">
        <v>48</v>
      </c>
      <c r="F10" s="73" t="s">
        <v>48</v>
      </c>
      <c r="G10" s="73" t="s">
        <v>48</v>
      </c>
      <c r="H10" s="80" t="s">
        <v>74</v>
      </c>
      <c r="I10" s="81" t="s">
        <v>75</v>
      </c>
      <c r="J10" s="81" t="s">
        <v>89</v>
      </c>
      <c r="K10" s="81" t="s">
        <v>90</v>
      </c>
      <c r="L10" s="81" t="s">
        <v>91</v>
      </c>
      <c r="M10" s="81" t="s">
        <v>92</v>
      </c>
      <c r="N10" s="81" t="s">
        <v>76</v>
      </c>
      <c r="O10" s="81" t="s">
        <v>77</v>
      </c>
      <c r="P10" s="81" t="s">
        <v>93</v>
      </c>
      <c r="Q10" s="81" t="s">
        <v>94</v>
      </c>
      <c r="R10" s="81" t="s">
        <v>95</v>
      </c>
      <c r="S10" s="81" t="s">
        <v>96</v>
      </c>
      <c r="T10" s="81"/>
      <c r="U10" s="81"/>
      <c r="V10" s="81"/>
      <c r="W10" s="81"/>
      <c r="X10" s="81"/>
      <c r="Y10" s="81"/>
      <c r="Z10" s="81"/>
      <c r="AA10" s="82"/>
      <c r="AB10" s="30"/>
      <c r="AC10" s="30"/>
      <c r="AD10" s="30"/>
      <c r="AE10" s="30"/>
    </row>
    <row r="11" spans="1:31" x14ac:dyDescent="0.4">
      <c r="A11" s="94" t="s">
        <v>97</v>
      </c>
      <c r="B11" s="30">
        <v>272.641558155545</v>
      </c>
      <c r="C11" s="30">
        <v>305</v>
      </c>
      <c r="D11" s="30">
        <v>0</v>
      </c>
      <c r="E11" s="30">
        <v>0.1</v>
      </c>
      <c r="F11" s="30">
        <v>1.0553088064124101E-2</v>
      </c>
      <c r="G11" s="30">
        <v>8.9446911935875797E-2</v>
      </c>
      <c r="H11" s="30">
        <v>0.46589135865384701</v>
      </c>
      <c r="I11" s="30">
        <v>5.0937431325880501E-2</v>
      </c>
      <c r="J11" s="30">
        <v>0.32838986673660697</v>
      </c>
      <c r="K11" s="30">
        <v>0.13540320831428199</v>
      </c>
      <c r="L11" s="30">
        <v>1.43011196845038E-2</v>
      </c>
      <c r="M11" s="30">
        <v>5.0770152848788599E-3</v>
      </c>
      <c r="N11" s="30">
        <v>9.3248008239004798E-4</v>
      </c>
      <c r="O11" s="30">
        <v>0.105788479408224</v>
      </c>
      <c r="P11" s="30">
        <v>1.7155123455381401E-2</v>
      </c>
      <c r="Q11" s="30">
        <v>0.54301570582240799</v>
      </c>
      <c r="R11" s="30">
        <v>0.221909047444629</v>
      </c>
      <c r="S11" s="30">
        <v>0.111199163786965</v>
      </c>
      <c r="T11" s="30"/>
      <c r="U11" s="30"/>
      <c r="V11" s="30"/>
      <c r="W11" s="30"/>
      <c r="X11" s="30"/>
      <c r="Y11" s="30"/>
      <c r="Z11" s="30"/>
      <c r="AA11" s="30"/>
      <c r="AB11" s="30"/>
      <c r="AC11" s="30"/>
      <c r="AD11" s="30"/>
      <c r="AE11" s="30"/>
    </row>
    <row r="12" spans="1:31" x14ac:dyDescent="0.4">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row>
    <row r="13" spans="1:31" x14ac:dyDescent="0.4">
      <c r="B13" s="30"/>
      <c r="C13" s="30"/>
      <c r="D13" s="30"/>
      <c r="E13" s="30"/>
      <c r="F13" s="30"/>
      <c r="G13" s="30"/>
      <c r="H13" s="30"/>
      <c r="I13" s="30"/>
      <c r="J13" s="30"/>
      <c r="K13" s="30"/>
      <c r="L13" s="30"/>
      <c r="M13" s="30"/>
      <c r="N13" s="30"/>
      <c r="O13" s="30"/>
      <c r="P13" s="30"/>
      <c r="Q13" s="30"/>
      <c r="AC13" s="30"/>
      <c r="AD13" s="30"/>
      <c r="AE13" s="30"/>
    </row>
    <row r="14" spans="1:31" x14ac:dyDescent="0.4">
      <c r="B14" s="30"/>
      <c r="C14" s="30"/>
      <c r="D14" s="30"/>
      <c r="E14" s="30"/>
      <c r="F14" s="30"/>
      <c r="G14" s="30"/>
      <c r="H14" s="30"/>
      <c r="I14" s="30"/>
      <c r="J14" s="30"/>
      <c r="K14" s="30"/>
      <c r="L14" s="30"/>
      <c r="M14" s="30"/>
      <c r="N14" s="30"/>
      <c r="O14" s="30"/>
      <c r="P14" s="30"/>
      <c r="Q14" s="30"/>
      <c r="AC14" s="30"/>
      <c r="AD14" s="30"/>
      <c r="AE14" s="30"/>
    </row>
    <row r="15" spans="1:31" x14ac:dyDescent="0.4">
      <c r="AC15" s="30"/>
      <c r="AD15" s="30"/>
      <c r="AE15" s="30"/>
    </row>
    <row r="16" spans="1:31" x14ac:dyDescent="0.4">
      <c r="B16" s="30"/>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row>
    <row r="17" spans="2:31" x14ac:dyDescent="0.4">
      <c r="B17" s="30"/>
      <c r="C17" s="30"/>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x14ac:dyDescent="0.4">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row>
    <row r="19" spans="2:31" x14ac:dyDescent="0.4">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row>
    <row r="20" spans="2:31" x14ac:dyDescent="0.4">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row>
    <row r="21" spans="2:31" x14ac:dyDescent="0.4">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row>
    <row r="22" spans="2:31" x14ac:dyDescent="0.4">
      <c r="B22" s="30"/>
      <c r="C22" s="30"/>
      <c r="D22" s="30"/>
      <c r="E22" s="30"/>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row>
    <row r="23" spans="2:31" x14ac:dyDescent="0.4">
      <c r="B23" s="30"/>
      <c r="C23" s="30"/>
      <c r="D23" s="30"/>
      <c r="E23" s="30"/>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row>
    <row r="24" spans="2:31" x14ac:dyDescent="0.4">
      <c r="B24" s="30"/>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row>
    <row r="25" spans="2:31" x14ac:dyDescent="0.4">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row>
    <row r="26" spans="2:31" x14ac:dyDescent="0.4">
      <c r="B26" s="30"/>
      <c r="C26" s="30"/>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row>
    <row r="27" spans="2:31" x14ac:dyDescent="0.4">
      <c r="B27" s="30"/>
      <c r="C27" s="30"/>
      <c r="D27" s="30"/>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x14ac:dyDescent="0.4">
      <c r="B28" s="30"/>
      <c r="C28" s="30"/>
      <c r="D28" s="30"/>
      <c r="E28" s="30"/>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row>
    <row r="29" spans="2:31" x14ac:dyDescent="0.4">
      <c r="B29" s="30"/>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row>
    <row r="30" spans="2:31" x14ac:dyDescent="0.4">
      <c r="B30" s="30"/>
      <c r="C30" s="30"/>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row>
    <row r="31" spans="2:31" x14ac:dyDescent="0.4">
      <c r="B31" s="30"/>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row>
    <row r="32" spans="2:31" x14ac:dyDescent="0.4">
      <c r="B32" s="30"/>
      <c r="C32" s="30"/>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row>
    <row r="33" spans="2:31" x14ac:dyDescent="0.4">
      <c r="B33" s="30"/>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row>
    <row r="34" spans="2:31" x14ac:dyDescent="0.4">
      <c r="B34" s="30"/>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row>
    <row r="35" spans="2:31" x14ac:dyDescent="0.4">
      <c r="B35" s="30"/>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row>
    <row r="36" spans="2:31" x14ac:dyDescent="0.4">
      <c r="B36" s="30"/>
      <c r="C36" s="30"/>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row>
    <row r="37" spans="2:31" x14ac:dyDescent="0.4">
      <c r="B37" s="30"/>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x14ac:dyDescent="0.4">
      <c r="B38" s="30"/>
      <c r="C38" s="30"/>
      <c r="D38" s="30"/>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row>
    <row r="39" spans="2:31" x14ac:dyDescent="0.4">
      <c r="B39" s="30"/>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row>
    <row r="40" spans="2:31" x14ac:dyDescent="0.4">
      <c r="B40" s="30"/>
      <c r="C40" s="30"/>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row>
    <row r="41" spans="2:31" x14ac:dyDescent="0.4">
      <c r="B41" s="30"/>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row>
    <row r="42" spans="2:31" x14ac:dyDescent="0.4">
      <c r="B42" s="30"/>
      <c r="C42" s="30"/>
      <c r="D42" s="30"/>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row>
    <row r="43" spans="2:31" x14ac:dyDescent="0.4">
      <c r="B43" s="30"/>
      <c r="C43" s="30"/>
      <c r="D43" s="30"/>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row>
    <row r="44" spans="2:31" x14ac:dyDescent="0.4">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row>
    <row r="45" spans="2:31" x14ac:dyDescent="0.4">
      <c r="B45" s="30"/>
      <c r="C45" s="30"/>
      <c r="D45" s="30"/>
      <c r="E45" s="30"/>
      <c r="F45" s="30"/>
      <c r="G45" s="30"/>
      <c r="H45" s="30"/>
      <c r="I45" s="30"/>
      <c r="J45" s="30"/>
      <c r="K45" s="30"/>
      <c r="L45" s="30"/>
      <c r="M45" s="30"/>
      <c r="N45" s="30"/>
      <c r="O45" s="30"/>
      <c r="P45" s="30"/>
      <c r="Q45" s="30"/>
      <c r="R45" s="30"/>
      <c r="S45" s="30"/>
      <c r="T45" s="30"/>
      <c r="U45" s="30"/>
      <c r="V45" s="30"/>
      <c r="W45" s="30"/>
      <c r="X45" s="30"/>
      <c r="Y45" s="30"/>
      <c r="Z45" s="30"/>
      <c r="AA45" s="30"/>
      <c r="AB45" s="30"/>
      <c r="AC45" s="30"/>
      <c r="AD45" s="30"/>
      <c r="AE45" s="30"/>
    </row>
    <row r="46" spans="2:31" x14ac:dyDescent="0.4">
      <c r="B46" s="30"/>
      <c r="C46" s="30"/>
      <c r="D46" s="30"/>
      <c r="E46" s="30"/>
      <c r="F46" s="30"/>
      <c r="G46" s="30"/>
      <c r="H46" s="30"/>
      <c r="I46" s="30"/>
      <c r="J46" s="30"/>
      <c r="K46" s="30"/>
      <c r="L46" s="30"/>
      <c r="M46" s="30"/>
      <c r="N46" s="30"/>
      <c r="O46" s="30"/>
      <c r="P46" s="30"/>
      <c r="Q46" s="30"/>
      <c r="R46" s="30"/>
      <c r="S46" s="30"/>
      <c r="T46" s="30"/>
      <c r="U46" s="30"/>
      <c r="V46" s="30"/>
      <c r="W46" s="30"/>
      <c r="X46" s="30"/>
      <c r="Y46" s="30"/>
      <c r="Z46" s="30"/>
      <c r="AA46" s="30"/>
      <c r="AB46" s="30"/>
      <c r="AC46" s="30"/>
      <c r="AD46" s="30"/>
      <c r="AE46" s="30"/>
    </row>
    <row r="47" spans="2:31" x14ac:dyDescent="0.4">
      <c r="B47" s="30"/>
      <c r="C47" s="30"/>
      <c r="D47" s="30"/>
      <c r="E47" s="30"/>
      <c r="F47" s="30"/>
      <c r="G47" s="30"/>
      <c r="H47" s="30"/>
      <c r="I47" s="30"/>
      <c r="J47" s="30"/>
      <c r="K47" s="30"/>
      <c r="L47" s="30"/>
      <c r="M47" s="30"/>
      <c r="N47" s="30"/>
      <c r="O47" s="30"/>
      <c r="P47" s="30"/>
      <c r="Q47" s="30"/>
      <c r="R47" s="30"/>
      <c r="S47" s="30"/>
      <c r="T47" s="30"/>
      <c r="U47" s="30"/>
      <c r="V47" s="30"/>
      <c r="W47" s="30"/>
      <c r="X47" s="30"/>
      <c r="Y47" s="30"/>
      <c r="Z47" s="30"/>
      <c r="AA47" s="30"/>
      <c r="AB47" s="30"/>
      <c r="AC47" s="30"/>
      <c r="AD47" s="30"/>
      <c r="AE47" s="30"/>
    </row>
    <row r="48" spans="2:31" x14ac:dyDescent="0.4">
      <c r="B48" s="30"/>
      <c r="C48" s="30"/>
      <c r="D48" s="30"/>
      <c r="E48" s="30"/>
      <c r="F48" s="30"/>
      <c r="G48" s="30"/>
      <c r="H48" s="30"/>
      <c r="I48" s="30"/>
      <c r="J48" s="30"/>
      <c r="K48" s="30"/>
      <c r="L48" s="30"/>
      <c r="M48" s="30"/>
      <c r="N48" s="30"/>
      <c r="O48" s="30"/>
      <c r="P48" s="30"/>
      <c r="Q48" s="30"/>
      <c r="R48" s="30"/>
      <c r="S48" s="30"/>
      <c r="T48" s="30"/>
      <c r="U48" s="30"/>
      <c r="V48" s="30"/>
      <c r="W48" s="30"/>
      <c r="X48" s="30"/>
      <c r="Y48" s="30"/>
      <c r="Z48" s="30"/>
      <c r="AA48" s="30"/>
      <c r="AB48" s="30"/>
      <c r="AC48" s="30"/>
      <c r="AD48" s="30"/>
      <c r="AE48" s="30"/>
    </row>
    <row r="49" spans="2:31" x14ac:dyDescent="0.4">
      <c r="B49" s="30"/>
      <c r="C49" s="30"/>
      <c r="D49" s="30"/>
      <c r="E49" s="30"/>
      <c r="F49" s="30"/>
      <c r="G49" s="30"/>
      <c r="H49" s="30"/>
      <c r="I49" s="30"/>
      <c r="J49" s="30"/>
      <c r="K49" s="30"/>
      <c r="L49" s="30"/>
      <c r="M49" s="30"/>
      <c r="N49" s="30"/>
      <c r="O49" s="30"/>
      <c r="P49" s="30"/>
      <c r="Q49" s="30"/>
      <c r="R49" s="30"/>
      <c r="S49" s="30"/>
      <c r="T49" s="30"/>
      <c r="U49" s="30"/>
      <c r="V49" s="30"/>
      <c r="W49" s="30"/>
      <c r="X49" s="30"/>
      <c r="Y49" s="30"/>
      <c r="Z49" s="30"/>
      <c r="AA49" s="30"/>
      <c r="AB49" s="30"/>
      <c r="AC49" s="30"/>
      <c r="AD49" s="30"/>
      <c r="AE49" s="30"/>
    </row>
    <row r="50" spans="2:31" x14ac:dyDescent="0.4">
      <c r="B50" s="71"/>
      <c r="C50" s="71"/>
      <c r="D50" s="71"/>
      <c r="E50" s="71"/>
      <c r="F50" s="71"/>
      <c r="G50" s="71"/>
      <c r="H50" s="71"/>
      <c r="I50" s="71"/>
      <c r="J50" s="71"/>
      <c r="K50" s="71"/>
      <c r="L50" s="71"/>
      <c r="M50" s="71"/>
      <c r="N50" s="71"/>
      <c r="O50" s="71"/>
      <c r="P50" s="71"/>
      <c r="Q50" s="71"/>
    </row>
  </sheetData>
  <mergeCells count="1">
    <mergeCell ref="A9:A10"/>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7"/>
  <sheetViews>
    <sheetView workbookViewId="0">
      <selection activeCell="B20" sqref="B20"/>
    </sheetView>
  </sheetViews>
  <sheetFormatPr defaultRowHeight="14.6" x14ac:dyDescent="0.4"/>
  <cols>
    <col min="2" max="2" width="192.3046875" bestFit="1" customWidth="1"/>
  </cols>
  <sheetData>
    <row r="1" spans="1:2" ht="20.6" x14ac:dyDescent="0.55000000000000004">
      <c r="A1" s="18" t="s">
        <v>68</v>
      </c>
    </row>
    <row r="4" spans="1:2" x14ac:dyDescent="0.4">
      <c r="A4">
        <v>1</v>
      </c>
      <c r="B4" t="s">
        <v>72</v>
      </c>
    </row>
    <row r="5" spans="1:2" x14ac:dyDescent="0.4">
      <c r="A5">
        <v>2</v>
      </c>
      <c r="B5" t="s">
        <v>69</v>
      </c>
    </row>
    <row r="6" spans="1:2" x14ac:dyDescent="0.4">
      <c r="A6">
        <v>3</v>
      </c>
      <c r="B6" t="s">
        <v>70</v>
      </c>
    </row>
    <row r="7" spans="1:2" x14ac:dyDescent="0.4">
      <c r="A7">
        <v>4</v>
      </c>
      <c r="B7"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Species Library</vt:lpstr>
      <vt:lpstr>Create Species CSVs</vt:lpstr>
      <vt:lpstr>Create Input Parameter CSV</vt:lpstr>
      <vt:lpstr>Simulation Output</vt:lpstr>
      <vt:lpstr>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dc:creator>
  <cp:lastModifiedBy>Vivek Parekh</cp:lastModifiedBy>
  <dcterms:created xsi:type="dcterms:W3CDTF">2017-11-12T14:42:58Z</dcterms:created>
  <dcterms:modified xsi:type="dcterms:W3CDTF">2018-12-05T01:48:11Z</dcterms:modified>
</cp:coreProperties>
</file>